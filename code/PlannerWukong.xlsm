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Development\Code\WukongPlanner\WukongPlanner\code\"/>
    </mc:Choice>
  </mc:AlternateContent>
  <xr:revisionPtr revIDLastSave="0" documentId="13_ncr:1_{ABCCA9D7-BA54-40AC-966F-7A7C4EA80665}" xr6:coauthVersionLast="40" xr6:coauthVersionMax="40" xr10:uidLastSave="{00000000-0000-0000-0000-000000000000}"/>
  <bookViews>
    <workbookView xWindow="0" yWindow="0" windowWidth="21600" windowHeight="9510" tabRatio="595" xr2:uid="{00000000-000D-0000-FFFF-FFFF00000000}"/>
  </bookViews>
  <sheets>
    <sheet name="Project Planner" sheetId="1" r:id="rId1"/>
    <sheet name="Capacity Per Sprint" sheetId="2" r:id="rId2"/>
    <sheet name="Variables" sheetId="3" r:id="rId3"/>
    <sheet name="Debug" sheetId="4" r:id="rId4"/>
  </sheets>
  <functionGroups builtInGroupCount="19"/>
  <definedNames>
    <definedName name="Actual">(PeriodInActual*('Project Planner'!$L1&gt;0))*PeriodInPlan</definedName>
    <definedName name="ActualBeyond">PeriodInActual*('Project Planner'!$L1&gt;0)</definedName>
    <definedName name="PercentComplete">PercentCompleteBeyond*PeriodInPlan</definedName>
    <definedName name="PercentCompleteBeyond">('Project Planner'!A$5=MEDIAN('Project Planner'!A$5,'Project Planner'!$L1,'Project Planner'!$L1+'Project Planner'!$M1)*('Project Planner'!$L1&gt;0))*(('Project Planner'!A$5&lt;(INT('Project Planner'!$L1+'Project Planner'!$M1*'Project Planner'!$N1)))+('Project Planner'!A$5='Project Planner'!$L1))*('Project Planner'!$N1&gt;0)</definedName>
    <definedName name="period_selected">'Project Planner'!$O$2</definedName>
    <definedName name="PeriodInActual">'Project Planner'!A$5=MEDIAN('Project Planner'!A$5,'Project Planner'!$L1,'Project Planner'!$L1+'Project Planner'!$M1-1)</definedName>
    <definedName name="PeriodInPlan">'Project Planner'!A$5=MEDIAN('Project Planner'!A$5,'Project Planner'!$J1,'Project Planner'!$J1+'Project Planner'!$K1-1)</definedName>
    <definedName name="Plan">PeriodInPlan*('Project Planner'!$J1&gt;0)</definedName>
    <definedName name="_xlnm.Print_Titles" localSheetId="0">'Project Planner'!$3:$5</definedName>
    <definedName name="TitleRegion..BO60">'Project Planner'!$C$3:$C$5</definedName>
  </definedNames>
  <calcPr calcId="18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8" i="3" l="1"/>
  <c r="B7" i="3"/>
  <c r="B13" i="3" l="1"/>
  <c r="B12" i="3" l="1"/>
  <c r="B14" i="3"/>
  <c r="B11" i="3"/>
  <c r="B10" i="3"/>
  <c r="B9" i="3"/>
  <c r="B6" i="3"/>
  <c r="B5" i="3"/>
  <c r="B3" i="3"/>
  <c r="H67" i="2" l="1"/>
  <c r="G67" i="2"/>
  <c r="F67" i="2"/>
  <c r="E67" i="2"/>
  <c r="D67" i="2"/>
  <c r="C67" i="2"/>
  <c r="B67" i="2"/>
  <c r="B74" i="2" s="1"/>
  <c r="C74" i="2" s="1"/>
  <c r="D74" i="2" s="1"/>
  <c r="E74" i="2" s="1"/>
  <c r="F74" i="2" s="1"/>
  <c r="G74" i="2" s="1"/>
  <c r="H74" i="2" s="1"/>
  <c r="H33" i="1" l="1"/>
  <c r="H34" i="1"/>
  <c r="H35" i="1"/>
  <c r="H36" i="1"/>
  <c r="H42" i="1" l="1"/>
</calcChain>
</file>

<file path=xl/sharedStrings.xml><?xml version="1.0" encoding="utf-8"?>
<sst xmlns="http://schemas.openxmlformats.org/spreadsheetml/2006/main" count="261" uniqueCount="144">
  <si>
    <t>WUKONG CONVERGENCE PLAN</t>
  </si>
  <si>
    <t>Select a period to highlight at right.  A legend describing the charting follows.</t>
  </si>
  <si>
    <t xml:space="preserve"> Period Highlight:</t>
  </si>
  <si>
    <t>Plan Duration</t>
  </si>
  <si>
    <t>Actual Start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</si>
  <si>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</si>
  <si>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</si>
  <si>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</si>
  <si>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>TICKET NO</t>
  </si>
  <si>
    <t>ACTIVITY</t>
  </si>
  <si>
    <t>PRIORITY</t>
  </si>
  <si>
    <t>SIZE</t>
  </si>
  <si>
    <t>PLANNED STORY POINTS</t>
  </si>
  <si>
    <t>REMAINING STORY POINTS</t>
  </si>
  <si>
    <t>EXPECTED DURATION (WEEKS)</t>
  </si>
  <si>
    <t>ACTUAL START</t>
  </si>
  <si>
    <t>ACTUAL DURATION</t>
  </si>
  <si>
    <t>PERCENT COMPLETE</t>
  </si>
  <si>
    <t>PI 8</t>
  </si>
  <si>
    <t>PI 9</t>
  </si>
  <si>
    <t>PI 10</t>
  </si>
  <si>
    <t>PI 11</t>
  </si>
  <si>
    <t>PI 12</t>
  </si>
  <si>
    <t>PI 13</t>
  </si>
  <si>
    <t>PI 14</t>
  </si>
  <si>
    <t>S4</t>
  </si>
  <si>
    <t>S5</t>
  </si>
  <si>
    <t>S1</t>
  </si>
  <si>
    <t>S2</t>
  </si>
  <si>
    <t>S3</t>
  </si>
  <si>
    <t>S6</t>
  </si>
  <si>
    <t>KPB-805</t>
  </si>
  <si>
    <t>Spike Integration Simulation and Trade repo</t>
  </si>
  <si>
    <t>P1</t>
  </si>
  <si>
    <t>KPB-134</t>
  </si>
  <si>
    <t>MDCS API - Commonly used actions ALL</t>
  </si>
  <si>
    <t>P6</t>
  </si>
  <si>
    <t>KPB-696</t>
  </si>
  <si>
    <t>MD refresh Today's Fixings ALL</t>
  </si>
  <si>
    <t>P3</t>
  </si>
  <si>
    <t>KPB-38</t>
  </si>
  <si>
    <t>RTBS supports incremental updates ALL</t>
  </si>
  <si>
    <t>P4</t>
  </si>
  <si>
    <t>GemFire Upgrade DEV</t>
  </si>
  <si>
    <t>P2?</t>
  </si>
  <si>
    <t>Documentation for System Testing PES</t>
  </si>
  <si>
    <t>P15</t>
  </si>
  <si>
    <t>KPB-697</t>
  </si>
  <si>
    <t>Refresh of GMP ALL</t>
  </si>
  <si>
    <t>P9</t>
  </si>
  <si>
    <t>KPB-186</t>
  </si>
  <si>
    <t>Subscription on PK DEV + PAC</t>
  </si>
  <si>
    <t>Spike Integration Livebook and RBPL DEV - PAC</t>
  </si>
  <si>
    <r>
      <t>KPB-646</t>
    </r>
    <r>
      <rPr>
        <sz val="11"/>
        <color rgb="FF333333"/>
        <rFont val="Corbel"/>
        <family val="2"/>
        <scheme val="major"/>
      </rPr>
      <t xml:space="preserve"> and </t>
    </r>
    <r>
      <rPr>
        <u/>
        <sz val="11"/>
        <color rgb="FF3578FF"/>
        <rFont val="Corbel"/>
        <family val="2"/>
        <scheme val="major"/>
      </rPr>
      <t>KPB-565</t>
    </r>
  </si>
  <si>
    <t>Operability Matrix ALL</t>
  </si>
  <si>
    <t>P8</t>
  </si>
  <si>
    <t>System Testing Preparation PES</t>
  </si>
  <si>
    <t>P5</t>
  </si>
  <si>
    <t>System Testing Execution ALL</t>
  </si>
  <si>
    <t>P2</t>
  </si>
  <si>
    <t>KPB-340</t>
  </si>
  <si>
    <t>NFR on catalog DEV+ PAC</t>
  </si>
  <si>
    <t>KPB-475</t>
  </si>
  <si>
    <t>Entitlement Carry over ALL</t>
  </si>
  <si>
    <t>P12</t>
  </si>
  <si>
    <t>MDCS API - Not commonly used (can be removed for 3.1.43?) ALL</t>
  </si>
  <si>
    <t>KPB-189</t>
  </si>
  <si>
    <t>Publish PES</t>
  </si>
  <si>
    <t>P11</t>
  </si>
  <si>
    <t>KPB-549</t>
  </si>
  <si>
    <t>EOD fixing import PS PES</t>
  </si>
  <si>
    <t>P10</t>
  </si>
  <si>
    <t>KPB-180</t>
  </si>
  <si>
    <t>RTMS ALL</t>
  </si>
  <si>
    <t>P14</t>
  </si>
  <si>
    <t>KPB-664</t>
  </si>
  <si>
    <t>Mark Troubleshooting ALL</t>
  </si>
  <si>
    <t>P13</t>
  </si>
  <si>
    <t>KPB-759 </t>
  </si>
  <si>
    <t>Study impact on production chain QA</t>
  </si>
  <si>
    <t>P19</t>
  </si>
  <si>
    <t>Upgradability ALL</t>
  </si>
  <si>
    <t>P18</t>
  </si>
  <si>
    <t>Client Testing</t>
  </si>
  <si>
    <t>P16</t>
  </si>
  <si>
    <t>KPB-313</t>
  </si>
  <si>
    <t>Missing Refresh functionality ALL</t>
  </si>
  <si>
    <t>P17</t>
  </si>
  <si>
    <t>Documentation Remaining</t>
  </si>
  <si>
    <t>[Spike validation] Testing framework</t>
  </si>
  <si>
    <t>[Spike validation] Livebook RBPL</t>
  </si>
  <si>
    <t>[Spike validation] Smile consistency</t>
  </si>
  <si>
    <t>PI</t>
  </si>
  <si>
    <t>Sprint</t>
  </si>
  <si>
    <t>Week</t>
  </si>
  <si>
    <t>Global Capacity</t>
  </si>
  <si>
    <t>Sum of Remaining SPs</t>
  </si>
  <si>
    <t>PI14</t>
  </si>
  <si>
    <t>PI Capacity</t>
  </si>
  <si>
    <t>Global</t>
  </si>
  <si>
    <t>Cumulated Capacity</t>
  </si>
  <si>
    <t>Client Update Validation Strategy</t>
  </si>
  <si>
    <t>COMPLETED STORY POINTS</t>
  </si>
  <si>
    <t>Number Of Variables</t>
  </si>
  <si>
    <t>Step</t>
  </si>
  <si>
    <t>Reading Variables</t>
  </si>
  <si>
    <t>End Step</t>
  </si>
  <si>
    <t>First Data Row</t>
  </si>
  <si>
    <t>Last Data Row</t>
  </si>
  <si>
    <t>Project Planner</t>
  </si>
  <si>
    <t>Project Sheet</t>
  </si>
  <si>
    <t>Capacity Sheet</t>
  </si>
  <si>
    <t>Capacity Per Sprint</t>
  </si>
  <si>
    <t>Planned SP Column</t>
  </si>
  <si>
    <t>Completed SP Column</t>
  </si>
  <si>
    <t>Remaining SP</t>
  </si>
  <si>
    <t>Remaining SP percent</t>
  </si>
  <si>
    <t>Expected Duration</t>
  </si>
  <si>
    <t>Sizing Planner Matrix</t>
  </si>
  <si>
    <t>LastDataRow</t>
  </si>
  <si>
    <t>Row Size</t>
  </si>
  <si>
    <t>plannedSPColumn</t>
  </si>
  <si>
    <t>completedSPColumn</t>
  </si>
  <si>
    <t>remainingSP</t>
  </si>
  <si>
    <t>expectedDuration</t>
  </si>
  <si>
    <t>remainingSPpercent</t>
  </si>
  <si>
    <t>plannedWeekStart</t>
  </si>
  <si>
    <t>Capacity First Row</t>
  </si>
  <si>
    <t>Capacity Last Row</t>
  </si>
  <si>
    <t>Capacity Column</t>
  </si>
  <si>
    <t>Sizing Capacity Matrix</t>
  </si>
  <si>
    <t>capacityRowSize</t>
  </si>
  <si>
    <t>Preparing Project Data</t>
  </si>
  <si>
    <t>Preparing Capacity Data</t>
  </si>
  <si>
    <t>CapacityPerWeek</t>
  </si>
  <si>
    <t>Sending Data To WukongPlanner.dll</t>
  </si>
  <si>
    <t>Return Error from calling entryPointForExcel</t>
  </si>
  <si>
    <t>Last run procedure time (in seconds)</t>
  </si>
  <si>
    <t>PLANNED WEEK START (CALCULATED)</t>
  </si>
  <si>
    <t>PLANNED WEEK START (Fixed)</t>
  </si>
  <si>
    <t>Output Planned Week Start</t>
  </si>
  <si>
    <t>Input Planned Week Start</t>
  </si>
  <si>
    <t>Last Run</t>
  </si>
  <si>
    <t>Sending Results To projectSheet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</si>
</sst>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u/>
      <sz val="11"/>
      <color theme="10"/>
      <name val="Corbel"/>
      <family val="2"/>
      <scheme val="major"/>
    </font>
    <font>
      <u/>
      <sz val="11"/>
      <color rgb="FF3578FF"/>
      <name val="Corbel"/>
      <family val="2"/>
      <scheme val="major"/>
    </font>
    <font>
      <sz val="11"/>
      <color rgb="FF333333"/>
      <name val="Corbel"/>
      <family val="2"/>
      <scheme val="major"/>
    </font>
    <font>
      <b/>
      <sz val="10"/>
      <color theme="1"/>
      <name val="Calibri"/>
      <family val="2"/>
      <scheme val="minor"/>
    </font>
    <font>
      <b/>
      <sz val="14"/>
      <color theme="1" tint="0.24994659260841701"/>
      <name val="Arial"/>
      <family val="2"/>
    </font>
  </fonts>
  <fills count="9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 applyNumberFormat="0" applyFill="0" applyBorder="0" applyProtection="0">
      <alignment horizontal="center" vertical="center"/>
    </xf>
    <xf numFmtId="0" fontId="7" fillId="0" borderId="0" applyNumberFormat="0" applyFill="0" applyBorder="0" applyAlignment="0" applyProtection="0"/>
    <xf numFmtId="0" fontId="2" fillId="0" borderId="0" applyFill="0" applyBorder="0" applyProtection="0">
      <alignment horizontal="left" wrapText="1"/>
    </xf>
    <xf numFmtId="3" fontId="9" fillId="0" borderId="2" applyFill="0" applyProtection="0">
      <alignment horizontal="center"/>
    </xf>
    <xf numFmtId="0" fontId="9" fillId="0" borderId="0" applyFill="0" applyBorder="0" applyProtection="0">
      <alignment horizontal="center" wrapText="1"/>
    </xf>
    <xf numFmtId="0" fontId="1" fillId="0" borderId="0" applyNumberFormat="0" applyFill="0" applyBorder="0" applyProtection="0">
      <alignment horizontal="left" vertical="center"/>
    </xf>
    <xf numFmtId="9" fontId="3" fillId="0" borderId="0" applyFill="0" applyBorder="0" applyProtection="0">
      <alignment horizontal="center" vertical="center"/>
    </xf>
    <xf numFmtId="0" fontId="8" fillId="6" borderId="1" applyNumberFormat="0" applyProtection="0">
      <alignment horizontal="left" vertical="center"/>
    </xf>
    <xf numFmtId="0" fontId="7" fillId="0" borderId="0" applyNumberFormat="0" applyFill="0" applyBorder="0" applyProtection="0">
      <alignment vertical="center"/>
    </xf>
    <xf numFmtId="0" fontId="9" fillId="0" borderId="0" applyFill="0" applyProtection="0">
      <alignment vertical="center"/>
    </xf>
    <xf numFmtId="0" fontId="9" fillId="0" borderId="0" applyFill="0" applyProtection="0">
      <alignment horizontal="center" vertical="center" wrapText="1"/>
    </xf>
    <xf numFmtId="0" fontId="9" fillId="0" borderId="0" applyFill="0" applyProtection="0">
      <alignment horizontal="left"/>
    </xf>
    <xf numFmtId="0" fontId="11" fillId="0" borderId="0" applyNumberFormat="0" applyFill="0" applyBorder="0" applyProtection="0">
      <alignment vertical="center"/>
    </xf>
    <xf numFmtId="1" fontId="12" fillId="6" borderId="1">
      <alignment horizontal="center" vertical="center"/>
    </xf>
    <xf numFmtId="0" fontId="10" fillId="2" borderId="4" applyNumberFormat="0" applyFont="0" applyAlignment="0">
      <alignment horizontal="center"/>
    </xf>
    <xf numFmtId="0" fontId="10" fillId="3" borderId="3" applyNumberFormat="0" applyFont="0" applyAlignment="0">
      <alignment horizontal="center"/>
    </xf>
    <xf numFmtId="0" fontId="10" fillId="4" borderId="3" applyNumberFormat="0" applyFont="0" applyAlignment="0">
      <alignment horizontal="center"/>
    </xf>
    <xf numFmtId="0" fontId="10" fillId="5" borderId="3" applyNumberFormat="0" applyFont="0" applyAlignment="0">
      <alignment horizontal="center"/>
    </xf>
    <xf numFmtId="0" fontId="10" fillId="7" borderId="3" applyNumberFormat="0" applyFont="0" applyAlignment="0">
      <alignment horizontal="center"/>
    </xf>
    <xf numFmtId="0" fontId="13" fillId="0" borderId="0" applyNumberFormat="0" applyFill="0" applyBorder="0" applyAlignment="0" applyProtection="0">
      <alignment horizontal="center" vertical="center"/>
    </xf>
  </cellStyleXfs>
  <cellXfs count="63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2" fillId="0" borderId="0" xfId="2">
      <alignment horizontal="left" wrapText="1"/>
    </xf>
    <xf numFmtId="9" fontId="3" fillId="0" borderId="0" xfId="6">
      <alignment horizontal="center" vertical="center"/>
    </xf>
    <xf numFmtId="0" fontId="8" fillId="6" borderId="1" xfId="7">
      <alignment horizontal="left" vertical="center"/>
    </xf>
    <xf numFmtId="0" fontId="0" fillId="0" borderId="0" xfId="0" applyAlignment="1">
      <alignment vertical="center" wrapText="1"/>
    </xf>
    <xf numFmtId="0" fontId="7" fillId="0" borderId="0" xfId="1" applyAlignment="1">
      <alignment horizontal="center"/>
    </xf>
    <xf numFmtId="0" fontId="7" fillId="0" borderId="0" xfId="8">
      <alignment vertical="center"/>
    </xf>
    <xf numFmtId="0" fontId="9" fillId="0" borderId="0" xfId="11" applyAlignment="1"/>
    <xf numFmtId="1" fontId="12" fillId="6" borderId="5" xfId="13" applyBorder="1">
      <alignment horizontal="center" vertical="center"/>
    </xf>
    <xf numFmtId="3" fontId="9" fillId="0" borderId="9" xfId="3" applyBorder="1">
      <alignment horizontal="center"/>
    </xf>
    <xf numFmtId="3" fontId="9" fillId="0" borderId="10" xfId="3" applyBorder="1">
      <alignment horizontal="center"/>
    </xf>
    <xf numFmtId="0" fontId="0" fillId="2" borderId="11" xfId="14" applyFont="1" applyBorder="1" applyAlignment="1">
      <alignment horizontal="center"/>
    </xf>
    <xf numFmtId="0" fontId="0" fillId="3" borderId="12" xfId="15" applyFont="1" applyBorder="1" applyAlignment="1">
      <alignment horizontal="center"/>
    </xf>
    <xf numFmtId="3" fontId="9" fillId="0" borderId="13" xfId="3" applyBorder="1">
      <alignment horizontal="center"/>
    </xf>
    <xf numFmtId="0" fontId="0" fillId="4" borderId="12" xfId="16" applyFont="1" applyBorder="1" applyAlignment="1">
      <alignment horizontal="center"/>
    </xf>
    <xf numFmtId="0" fontId="0" fillId="5" borderId="12" xfId="17" applyFont="1" applyBorder="1" applyAlignment="1">
      <alignment horizontal="center"/>
    </xf>
    <xf numFmtId="0" fontId="0" fillId="7" borderId="12" xfId="18" applyFont="1" applyBorder="1" applyAlignment="1">
      <alignment horizontal="center"/>
    </xf>
    <xf numFmtId="3" fontId="9" fillId="0" borderId="8" xfId="3" applyBorder="1">
      <alignment horizontal="center"/>
    </xf>
    <xf numFmtId="0" fontId="0" fillId="0" borderId="8" xfId="0" applyBorder="1">
      <alignment horizontal="center" vertical="center"/>
    </xf>
    <xf numFmtId="0" fontId="0" fillId="0" borderId="14" xfId="0" applyBorder="1">
      <alignment horizontal="center" vertical="center"/>
    </xf>
    <xf numFmtId="0" fontId="4" fillId="0" borderId="14" xfId="2" applyFont="1" applyBorder="1">
      <alignment horizontal="left" wrapText="1"/>
    </xf>
    <xf numFmtId="0" fontId="4" fillId="0" borderId="14" xfId="2" applyFont="1" applyBorder="1" applyAlignment="1">
      <alignment horizontal="center" vertical="center" wrapText="1"/>
    </xf>
    <xf numFmtId="0" fontId="4" fillId="8" borderId="14" xfId="2" applyFont="1" applyFill="1" applyBorder="1" applyAlignment="1">
      <alignment horizontal="center" vertical="center" wrapText="1"/>
    </xf>
    <xf numFmtId="0" fontId="5" fillId="0" borderId="14" xfId="0" applyFont="1" applyBorder="1" applyAlignment="1">
      <alignment horizontal="center"/>
    </xf>
    <xf numFmtId="0" fontId="5" fillId="8" borderId="14" xfId="0" applyFont="1" applyFill="1" applyBorder="1" applyAlignment="1" applyProtection="1">
      <alignment horizontal="center"/>
    </xf>
    <xf numFmtId="9" fontId="6" fillId="0" borderId="14" xfId="6" applyFont="1" applyBorder="1">
      <alignment horizontal="center" vertical="center"/>
    </xf>
    <xf numFmtId="0" fontId="13" fillId="0" borderId="14" xfId="19" applyBorder="1">
      <alignment horizontal="center" vertical="center"/>
    </xf>
    <xf numFmtId="0" fontId="0" fillId="0" borderId="15" xfId="0" applyBorder="1">
      <alignment horizontal="center" vertical="center"/>
    </xf>
    <xf numFmtId="0" fontId="0" fillId="0" borderId="0" xfId="0" applyBorder="1">
      <alignment horizontal="center" vertical="center"/>
    </xf>
    <xf numFmtId="0" fontId="9" fillId="0" borderId="8" xfId="11" applyBorder="1" applyAlignment="1"/>
    <xf numFmtId="0" fontId="9" fillId="0" borderId="0" xfId="11" applyBorder="1" applyAlignment="1"/>
    <xf numFmtId="0" fontId="14" fillId="0" borderId="14" xfId="0" applyFont="1" applyBorder="1" applyAlignment="1">
      <alignment horizontal="center" vertical="center"/>
    </xf>
    <xf numFmtId="0" fontId="16" fillId="0" borderId="0" xfId="1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17" xfId="0" applyBorder="1">
      <alignment horizontal="center" vertical="center"/>
    </xf>
    <xf numFmtId="0" fontId="0" fillId="0" borderId="17" xfId="0" applyFill="1" applyBorder="1">
      <alignment horizontal="center" vertical="center"/>
    </xf>
    <xf numFmtId="0" fontId="0" fillId="0" borderId="0" xfId="0" applyFill="1" applyBorder="1">
      <alignment horizontal="center" vertical="center"/>
    </xf>
    <xf numFmtId="0" fontId="9" fillId="0" borderId="8" xfId="11" applyBorder="1" applyAlignment="1">
      <alignment horizont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11" fillId="0" borderId="0" xfId="12" applyAlignment="1">
      <alignment vertical="center"/>
    </xf>
    <xf numFmtId="0" fontId="9" fillId="0" borderId="0" xfId="9" applyAlignment="1">
      <alignment vertical="center"/>
    </xf>
    <xf numFmtId="0" fontId="9" fillId="0" borderId="0" xfId="9" applyBorder="1" applyAlignment="1">
      <alignment vertical="center"/>
    </xf>
    <xf numFmtId="0" fontId="9" fillId="8" borderId="0" xfId="10" applyFill="1" applyAlignment="1" applyProtection="1">
      <alignment horizontal="center" vertical="center" wrapText="1"/>
    </xf>
    <xf numFmtId="0" fontId="9" fillId="8" borderId="0" xfId="10" applyFill="1" applyBorder="1" applyAlignment="1" applyProtection="1">
      <alignment horizontal="center" vertical="center" wrapText="1"/>
    </xf>
    <xf numFmtId="0" fontId="9" fillId="0" borderId="0" xfId="10" applyAlignment="1">
      <alignment horizontal="center" vertical="center" wrapText="1"/>
    </xf>
    <xf numFmtId="0" fontId="9" fillId="0" borderId="0" xfId="10" applyBorder="1" applyAlignment="1">
      <alignment horizontal="center" vertical="center" wrapText="1"/>
    </xf>
    <xf numFmtId="0" fontId="9" fillId="0" borderId="5" xfId="10" applyBorder="1" applyAlignment="1">
      <alignment horizontal="center" vertical="center" wrapText="1"/>
    </xf>
    <xf numFmtId="0" fontId="5" fillId="0" borderId="6" xfId="5" applyFont="1" applyBorder="1" applyAlignment="1">
      <alignment horizontal="left" vertical="center"/>
    </xf>
    <xf numFmtId="0" fontId="5" fillId="0" borderId="0" xfId="5" applyFont="1" applyAlignment="1">
      <alignment horizontal="left" vertical="center"/>
    </xf>
    <xf numFmtId="0" fontId="5" fillId="0" borderId="7" xfId="5" applyFont="1" applyBorder="1" applyAlignment="1">
      <alignment horizontal="left" vertical="center"/>
    </xf>
    <xf numFmtId="0" fontId="5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  <xf numFmtId="0" fontId="9" fillId="0" borderId="0" xfId="9" applyAlignment="1">
      <alignment horizontal="center" vertical="center" wrapText="1"/>
    </xf>
    <xf numFmtId="0" fontId="9" fillId="0" borderId="0" xfId="9" applyBorder="1" applyAlignment="1">
      <alignment horizontal="center" vertical="center" wrapText="1"/>
    </xf>
    <xf numFmtId="0" fontId="9" fillId="0" borderId="0" xfId="9" applyAlignment="1">
      <alignment horizontal="center" vertical="center"/>
    </xf>
    <xf numFmtId="0" fontId="9" fillId="0" borderId="0" xfId="9" applyBorder="1" applyAlignment="1">
      <alignment horizontal="center" vertical="center"/>
    </xf>
    <xf numFmtId="0" fontId="9" fillId="8" borderId="0" xfId="9" applyFill="1" applyAlignment="1">
      <alignment horizontal="center" vertical="center" wrapText="1"/>
    </xf>
    <xf numFmtId="0" fontId="9" fillId="8" borderId="0" xfId="9" applyFill="1" applyBorder="1" applyAlignment="1">
      <alignment horizontal="center" vertical="center" wrapText="1"/>
    </xf>
    <xf numFmtId="0" fontId="9" fillId="0" borderId="16" xfId="9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/>
    </xf>
  </cellXfs>
  <cellStyles count="20">
    <cellStyle name="% complete" xfId="16" xr:uid="{00000000-0005-0000-0000-000000000000}"/>
    <cellStyle name="% complete (beyond plan) legend" xfId="18" xr:uid="{00000000-0005-0000-0000-000001000000}"/>
    <cellStyle name="Activity" xfId="2" xr:uid="{00000000-0005-0000-0000-000002000000}"/>
    <cellStyle name="Actual (beyond plan) legend" xfId="17" xr:uid="{00000000-0005-0000-0000-000003000000}"/>
    <cellStyle name="Actual legend" xfId="15" xr:uid="{00000000-0005-0000-0000-000004000000}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9" builtinId="8"/>
    <cellStyle name="Label" xfId="5" xr:uid="{00000000-0005-0000-0000-00000B000000}"/>
    <cellStyle name="Normal" xfId="0" builtinId="0" customBuiltin="1"/>
    <cellStyle name="Percent Complete" xfId="6" xr:uid="{00000000-0005-0000-0000-00000D000000}"/>
    <cellStyle name="Period Headers" xfId="3" xr:uid="{00000000-0005-0000-0000-00000E000000}"/>
    <cellStyle name="Period Highlight Control" xfId="7" xr:uid="{00000000-0005-0000-0000-00000F000000}"/>
    <cellStyle name="Period Value" xfId="13" xr:uid="{00000000-0005-0000-0000-000010000000}"/>
    <cellStyle name="Plan legend" xfId="14" xr:uid="{00000000-0005-0000-0000-000011000000}"/>
    <cellStyle name="Project Headers" xfId="4" xr:uid="{00000000-0005-0000-0000-000012000000}"/>
    <cellStyle name="Title" xfId="8" builtinId="15" customBuiltin="1"/>
  </cellStyles>
  <dxfs count="11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841002</xdr:colOff>
          <xdr:row>0</xdr:row>
          <xdr:rowOff>192181</xdr:rowOff>
        </xdr:from>
        <xdr:to>
          <xdr:col>8</xdr:col>
          <xdr:colOff>926726</xdr:colOff>
          <xdr:row>1</xdr:row>
          <xdr:rowOff>11206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3D28ADC-6667-42F4-93CD-E7338579FF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404040"/>
                  </a:solidFill>
                  <a:latin typeface="Arial"/>
                  <a:cs typeface="Arial"/>
                </a:rPr>
                <a:t>Build Plan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xjira.murex.com/browse/KPB-134" TargetMode="External"/><Relationship Id="rId13" Type="http://schemas.openxmlformats.org/officeDocument/2006/relationships/hyperlink" Target="https://mxjira.murex.com/browse/KPB-759" TargetMode="External"/><Relationship Id="rId18" Type="http://schemas.openxmlformats.org/officeDocument/2006/relationships/vmlDrawing" Target="../drawings/vmlDrawing1.vml"/><Relationship Id="rId3" Type="http://schemas.openxmlformats.org/officeDocument/2006/relationships/hyperlink" Target="https://mxjira.murex.com/browse/KPB-38" TargetMode="External"/><Relationship Id="rId7" Type="http://schemas.openxmlformats.org/officeDocument/2006/relationships/hyperlink" Target="https://mxjira.murex.com/browse/KPB-475" TargetMode="External"/><Relationship Id="rId12" Type="http://schemas.openxmlformats.org/officeDocument/2006/relationships/hyperlink" Target="https://mxjira.murex.com/browse/KPB-664" TargetMode="External"/><Relationship Id="rId17" Type="http://schemas.openxmlformats.org/officeDocument/2006/relationships/drawing" Target="../drawings/drawing1.xml"/><Relationship Id="rId2" Type="http://schemas.openxmlformats.org/officeDocument/2006/relationships/hyperlink" Target="https://mxjira.murex.com/browse/KPB-696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https://mxjira.murex.com/browse/KPB-134" TargetMode="External"/><Relationship Id="rId6" Type="http://schemas.openxmlformats.org/officeDocument/2006/relationships/hyperlink" Target="https://mxjira.murex.com/browse/KPB-340" TargetMode="External"/><Relationship Id="rId11" Type="http://schemas.openxmlformats.org/officeDocument/2006/relationships/hyperlink" Target="https://mxjira.murex.com/browse/KPB-180" TargetMode="External"/><Relationship Id="rId5" Type="http://schemas.openxmlformats.org/officeDocument/2006/relationships/hyperlink" Target="https://mxjira.murex.com/browse/KPB-186" TargetMode="External"/><Relationship Id="rId15" Type="http://schemas.openxmlformats.org/officeDocument/2006/relationships/hyperlink" Target="https://mxjira.murex.com/browse/KPB-805" TargetMode="External"/><Relationship Id="rId10" Type="http://schemas.openxmlformats.org/officeDocument/2006/relationships/hyperlink" Target="https://mxjira.murex.com/browse/KPB-549" TargetMode="External"/><Relationship Id="rId19" Type="http://schemas.openxmlformats.org/officeDocument/2006/relationships/ctrlProp" Target="../ctrlProps/ctrlProp1.xml"/><Relationship Id="rId4" Type="http://schemas.openxmlformats.org/officeDocument/2006/relationships/hyperlink" Target="https://mxjira.murex.com/browse/KPB-697" TargetMode="External"/><Relationship Id="rId9" Type="http://schemas.openxmlformats.org/officeDocument/2006/relationships/hyperlink" Target="https://mxjira.murex.com/browse/KPB-189" TargetMode="External"/><Relationship Id="rId14" Type="http://schemas.openxmlformats.org/officeDocument/2006/relationships/hyperlink" Target="https://mxjira.murex.com/browse/KPB-313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/>
    <pageSetUpPr fitToPage="1"/>
  </sheetPr>
  <dimension ref="B1:CB42"/>
  <sheetViews>
    <sheetView showGridLines="0" tabSelected="1" zoomScale="85" zoomScaleNormal="85" zoomScaleSheetLayoutView="80" workbookViewId="0">
      <selection activeCell="M1" sqref="M1"/>
    </sheetView>
  </sheetViews>
  <sheetFormatPr defaultColWidth="2.75" defaultRowHeight="30" customHeight="1" x14ac:dyDescent="0.3"/>
  <cols>
    <col min="2" max="2" width="11.75" customWidth="1"/>
    <col min="3" max="3" width="48.625" style="2" customWidth="1"/>
    <col min="4" max="4" width="8.625" style="2" bestFit="1" customWidth="1"/>
    <col min="5" max="5" width="6" style="2" customWidth="1"/>
    <col min="6" max="9" width="16.625" style="2" customWidth="1"/>
    <col min="10" max="10" width="11.625" style="1" customWidth="1"/>
    <col min="11" max="11" width="13.75" style="1" bestFit="1" customWidth="1"/>
    <col min="12" max="13" width="11.625" style="1" customWidth="1"/>
    <col min="14" max="14" width="15.5" style="3" customWidth="1"/>
    <col min="15" max="34" width="2.75" style="1"/>
  </cols>
  <sheetData>
    <row r="1" spans="2:80" ht="60" customHeight="1" thickBot="1" x14ac:dyDescent="0.85">
      <c r="C1" s="7" t="s">
        <v>0</v>
      </c>
      <c r="D1" s="7"/>
      <c r="E1" s="7"/>
      <c r="F1" s="7"/>
      <c r="G1" s="7"/>
      <c r="H1" s="7"/>
      <c r="I1" s="7"/>
      <c r="J1" s="6"/>
      <c r="K1" s="33"/>
      <c r="L1" s="6"/>
      <c r="M1" s="6"/>
      <c r="N1" s="6"/>
    </row>
    <row r="2" spans="2:80" ht="21" customHeight="1" thickTop="1" x14ac:dyDescent="0.25">
      <c r="C2" s="41" t="s">
        <v>1</v>
      </c>
      <c r="D2" s="41"/>
      <c r="E2" s="41"/>
      <c r="F2" s="41"/>
      <c r="G2" s="41"/>
      <c r="H2" s="41"/>
      <c r="I2" s="41"/>
      <c r="J2" s="41"/>
      <c r="K2" s="41"/>
      <c r="L2" s="41"/>
      <c r="M2" s="41"/>
      <c r="N2" s="4" t="s">
        <v>2</v>
      </c>
      <c r="O2" s="9">
        <v>1</v>
      </c>
      <c r="Q2" s="12"/>
      <c r="R2" s="49" t="s">
        <v>3</v>
      </c>
      <c r="S2" s="50"/>
      <c r="T2" s="50"/>
      <c r="U2" s="50"/>
      <c r="V2" s="51"/>
      <c r="W2" s="13"/>
      <c r="X2" s="49" t="s">
        <v>4</v>
      </c>
      <c r="Y2" s="52"/>
      <c r="Z2" s="52"/>
      <c r="AA2" s="51"/>
      <c r="AB2" s="15"/>
      <c r="AC2" s="39" t="s">
        <v>5</v>
      </c>
      <c r="AD2" s="40"/>
      <c r="AE2" s="40"/>
      <c r="AF2" s="53"/>
      <c r="AG2" s="16"/>
      <c r="AH2" s="39" t="s">
        <v>6</v>
      </c>
      <c r="AI2" s="40"/>
      <c r="AJ2" s="40"/>
      <c r="AK2" s="40"/>
      <c r="AL2" s="40"/>
      <c r="AM2" s="40"/>
      <c r="AN2" s="53"/>
      <c r="AO2" s="17"/>
      <c r="AP2" s="39" t="s">
        <v>7</v>
      </c>
      <c r="AQ2" s="40"/>
      <c r="AR2" s="40"/>
      <c r="AS2" s="40"/>
      <c r="AT2" s="40"/>
      <c r="AU2" s="40"/>
      <c r="AV2" s="40"/>
      <c r="AW2" s="40"/>
    </row>
    <row r="3" spans="2:80" s="5" customFormat="1" ht="13.9" customHeight="1" x14ac:dyDescent="0.25">
      <c r="B3" s="42" t="s">
        <v>8</v>
      </c>
      <c r="C3" s="42" t="s">
        <v>9</v>
      </c>
      <c r="D3" s="56" t="s">
        <v>10</v>
      </c>
      <c r="E3" s="56" t="s">
        <v>11</v>
      </c>
      <c r="F3" s="54" t="s">
        <v>12</v>
      </c>
      <c r="G3" s="54" t="s">
        <v>102</v>
      </c>
      <c r="H3" s="58" t="s">
        <v>13</v>
      </c>
      <c r="I3" s="46" t="s">
        <v>139</v>
      </c>
      <c r="J3" s="44" t="s">
        <v>138</v>
      </c>
      <c r="K3" s="44" t="s">
        <v>14</v>
      </c>
      <c r="L3" s="46" t="s">
        <v>15</v>
      </c>
      <c r="M3" s="46" t="s">
        <v>16</v>
      </c>
      <c r="N3" s="48" t="s">
        <v>17</v>
      </c>
      <c r="O3" s="38" t="s">
        <v>18</v>
      </c>
      <c r="P3" s="38"/>
      <c r="Q3" s="38"/>
      <c r="R3" s="38"/>
      <c r="S3" s="38" t="s">
        <v>19</v>
      </c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 t="s">
        <v>20</v>
      </c>
      <c r="AF3" s="38"/>
      <c r="AG3" s="38"/>
      <c r="AH3" s="38"/>
      <c r="AI3" s="38"/>
      <c r="AJ3" s="38"/>
      <c r="AK3" s="38"/>
      <c r="AL3" s="38"/>
      <c r="AM3" s="38"/>
      <c r="AN3" s="38"/>
      <c r="AO3" s="38" t="s">
        <v>21</v>
      </c>
      <c r="AP3" s="38"/>
      <c r="AQ3" s="38"/>
      <c r="AR3" s="38"/>
      <c r="AS3" s="38"/>
      <c r="AT3" s="38"/>
      <c r="AU3" s="38"/>
      <c r="AV3" s="38"/>
      <c r="AW3" s="38"/>
      <c r="AX3" s="38"/>
      <c r="AY3" s="38" t="s">
        <v>22</v>
      </c>
      <c r="AZ3" s="38"/>
      <c r="BA3" s="38"/>
      <c r="BB3" s="38"/>
      <c r="BC3" s="38"/>
      <c r="BD3" s="38"/>
      <c r="BE3" s="38"/>
      <c r="BF3" s="38"/>
      <c r="BG3" s="38"/>
      <c r="BH3" s="38"/>
      <c r="BI3" s="38" t="s">
        <v>23</v>
      </c>
      <c r="BJ3" s="38"/>
      <c r="BK3" s="38"/>
      <c r="BL3" s="38"/>
      <c r="BM3" s="38"/>
      <c r="BN3" s="38"/>
      <c r="BO3" s="38"/>
      <c r="BP3" s="38"/>
      <c r="BQ3" s="38"/>
      <c r="BR3" s="38"/>
      <c r="BS3" s="38" t="s">
        <v>24</v>
      </c>
      <c r="BT3" s="38"/>
      <c r="BU3" s="38"/>
      <c r="BV3" s="38"/>
      <c r="BW3" s="8"/>
      <c r="BX3" s="8"/>
      <c r="BY3" s="8"/>
      <c r="BZ3" s="8"/>
      <c r="CA3" s="8"/>
      <c r="CB3" s="8"/>
    </row>
    <row r="4" spans="2:80" s="5" customFormat="1" ht="18" customHeight="1" x14ac:dyDescent="0.25">
      <c r="B4" s="42"/>
      <c r="C4" s="42"/>
      <c r="D4" s="56"/>
      <c r="E4" s="56"/>
      <c r="F4" s="54"/>
      <c r="G4" s="54"/>
      <c r="H4" s="58"/>
      <c r="I4" s="46"/>
      <c r="J4" s="44"/>
      <c r="K4" s="44"/>
      <c r="L4" s="46"/>
      <c r="M4" s="46"/>
      <c r="N4" s="47"/>
      <c r="O4" s="38" t="s">
        <v>25</v>
      </c>
      <c r="P4" s="38"/>
      <c r="Q4" s="38" t="s">
        <v>26</v>
      </c>
      <c r="R4" s="38"/>
      <c r="S4" s="38" t="s">
        <v>27</v>
      </c>
      <c r="T4" s="38"/>
      <c r="U4" s="38" t="s">
        <v>28</v>
      </c>
      <c r="V4" s="38"/>
      <c r="W4" s="38" t="s">
        <v>29</v>
      </c>
      <c r="X4" s="38"/>
      <c r="Y4" s="38" t="s">
        <v>25</v>
      </c>
      <c r="Z4" s="38"/>
      <c r="AA4" s="38" t="s">
        <v>26</v>
      </c>
      <c r="AB4" s="38"/>
      <c r="AC4" s="38" t="s">
        <v>30</v>
      </c>
      <c r="AD4" s="38"/>
      <c r="AE4" s="38" t="s">
        <v>27</v>
      </c>
      <c r="AF4" s="38"/>
      <c r="AG4" s="38" t="s">
        <v>28</v>
      </c>
      <c r="AH4" s="38"/>
      <c r="AI4" s="38" t="s">
        <v>29</v>
      </c>
      <c r="AJ4" s="38"/>
      <c r="AK4" s="38" t="s">
        <v>25</v>
      </c>
      <c r="AL4" s="38"/>
      <c r="AM4" s="38" t="s">
        <v>26</v>
      </c>
      <c r="AN4" s="38"/>
      <c r="AO4" s="38" t="s">
        <v>27</v>
      </c>
      <c r="AP4" s="38"/>
      <c r="AQ4" s="38" t="s">
        <v>28</v>
      </c>
      <c r="AR4" s="38"/>
      <c r="AS4" s="38" t="s">
        <v>29</v>
      </c>
      <c r="AT4" s="38"/>
      <c r="AU4" s="38" t="s">
        <v>25</v>
      </c>
      <c r="AV4" s="38"/>
      <c r="AW4" s="38" t="s">
        <v>26</v>
      </c>
      <c r="AX4" s="38"/>
      <c r="AY4" s="38" t="s">
        <v>27</v>
      </c>
      <c r="AZ4" s="38"/>
      <c r="BA4" s="38" t="s">
        <v>28</v>
      </c>
      <c r="BB4" s="38"/>
      <c r="BC4" s="38" t="s">
        <v>29</v>
      </c>
      <c r="BD4" s="38"/>
      <c r="BE4" s="38" t="s">
        <v>25</v>
      </c>
      <c r="BF4" s="38"/>
      <c r="BG4" s="38" t="s">
        <v>26</v>
      </c>
      <c r="BH4" s="38"/>
      <c r="BI4" s="38" t="s">
        <v>27</v>
      </c>
      <c r="BJ4" s="38"/>
      <c r="BK4" s="38" t="s">
        <v>28</v>
      </c>
      <c r="BL4" s="38"/>
      <c r="BM4" s="38" t="s">
        <v>29</v>
      </c>
      <c r="BN4" s="38"/>
      <c r="BO4" s="38" t="s">
        <v>25</v>
      </c>
      <c r="BP4" s="38"/>
      <c r="BQ4" s="38" t="s">
        <v>26</v>
      </c>
      <c r="BR4" s="38"/>
      <c r="BS4" s="38" t="s">
        <v>27</v>
      </c>
      <c r="BT4" s="38"/>
      <c r="BU4" s="38" t="s">
        <v>28</v>
      </c>
      <c r="BV4" s="38"/>
    </row>
    <row r="5" spans="2:80" ht="15.75" customHeight="1" x14ac:dyDescent="0.25">
      <c r="B5" s="43"/>
      <c r="C5" s="43"/>
      <c r="D5" s="57"/>
      <c r="E5" s="57"/>
      <c r="F5" s="55"/>
      <c r="G5" s="60"/>
      <c r="H5" s="59"/>
      <c r="I5" s="47"/>
      <c r="J5" s="45"/>
      <c r="K5" s="45"/>
      <c r="L5" s="47"/>
      <c r="M5" s="47"/>
      <c r="N5" s="47"/>
      <c r="O5" s="10">
        <v>1</v>
      </c>
      <c r="P5" s="14">
        <v>2</v>
      </c>
      <c r="Q5" s="14">
        <v>3</v>
      </c>
      <c r="R5" s="11">
        <v>4</v>
      </c>
      <c r="S5" s="10">
        <v>5</v>
      </c>
      <c r="T5" s="14">
        <v>6</v>
      </c>
      <c r="U5" s="14">
        <v>7</v>
      </c>
      <c r="V5" s="14">
        <v>8</v>
      </c>
      <c r="W5" s="14">
        <v>9</v>
      </c>
      <c r="X5" s="14">
        <v>10</v>
      </c>
      <c r="Y5" s="14">
        <v>11</v>
      </c>
      <c r="Z5" s="14">
        <v>12</v>
      </c>
      <c r="AA5" s="14">
        <v>13</v>
      </c>
      <c r="AB5" s="14">
        <v>14</v>
      </c>
      <c r="AC5" s="14">
        <v>15</v>
      </c>
      <c r="AD5" s="11">
        <v>16</v>
      </c>
      <c r="AE5" s="10">
        <v>17</v>
      </c>
      <c r="AF5" s="14">
        <v>18</v>
      </c>
      <c r="AG5" s="14">
        <v>19</v>
      </c>
      <c r="AH5" s="14">
        <v>20</v>
      </c>
      <c r="AI5" s="14">
        <v>21</v>
      </c>
      <c r="AJ5" s="14">
        <v>22</v>
      </c>
      <c r="AK5" s="14">
        <v>23</v>
      </c>
      <c r="AL5" s="14">
        <v>24</v>
      </c>
      <c r="AM5" s="14">
        <v>25</v>
      </c>
      <c r="AN5" s="11">
        <v>26</v>
      </c>
      <c r="AO5" s="10">
        <v>27</v>
      </c>
      <c r="AP5" s="14">
        <v>28</v>
      </c>
      <c r="AQ5" s="14">
        <v>29</v>
      </c>
      <c r="AR5" s="14">
        <v>30</v>
      </c>
      <c r="AS5" s="14">
        <v>31</v>
      </c>
      <c r="AT5" s="14">
        <v>32</v>
      </c>
      <c r="AU5" s="14">
        <v>33</v>
      </c>
      <c r="AV5" s="14">
        <v>34</v>
      </c>
      <c r="AW5" s="14">
        <v>35</v>
      </c>
      <c r="AX5" s="11">
        <v>36</v>
      </c>
      <c r="AY5" s="10">
        <v>37</v>
      </c>
      <c r="AZ5" s="14">
        <v>38</v>
      </c>
      <c r="BA5" s="14">
        <v>39</v>
      </c>
      <c r="BB5" s="14">
        <v>40</v>
      </c>
      <c r="BC5" s="14">
        <v>41</v>
      </c>
      <c r="BD5" s="14">
        <v>42</v>
      </c>
      <c r="BE5" s="14">
        <v>43</v>
      </c>
      <c r="BF5" s="14">
        <v>44</v>
      </c>
      <c r="BG5" s="14">
        <v>45</v>
      </c>
      <c r="BH5" s="11">
        <v>46</v>
      </c>
      <c r="BI5" s="10">
        <v>47</v>
      </c>
      <c r="BJ5" s="14">
        <v>48</v>
      </c>
      <c r="BK5" s="14">
        <v>49</v>
      </c>
      <c r="BL5" s="14">
        <v>50</v>
      </c>
      <c r="BM5" s="14">
        <v>51</v>
      </c>
      <c r="BN5" s="14">
        <v>52</v>
      </c>
      <c r="BO5" s="14">
        <v>53</v>
      </c>
      <c r="BP5" s="14">
        <v>54</v>
      </c>
      <c r="BQ5" s="14">
        <v>55</v>
      </c>
      <c r="BR5" s="11">
        <v>56</v>
      </c>
      <c r="BS5" s="10">
        <v>57</v>
      </c>
      <c r="BT5" s="14">
        <v>58</v>
      </c>
      <c r="BU5" s="14">
        <v>59</v>
      </c>
      <c r="BV5" s="11">
        <v>60</v>
      </c>
    </row>
    <row r="6" spans="2:80" ht="30" customHeight="1" x14ac:dyDescent="0.3">
      <c r="B6" s="27" t="s">
        <v>31</v>
      </c>
      <c r="C6" s="21" t="s">
        <v>32</v>
      </c>
      <c r="D6" s="22" t="s">
        <v>33</v>
      </c>
      <c r="E6" s="22">
        <v>5</v>
      </c>
      <c r="F6" s="22">
        <v>32</v>
      </c>
      <c r="G6" s="22">
        <v>10</v>
      </c>
      <c r="H6" s="23">
        <v>22</v>
      </c>
      <c r="I6" s="24">
        <v>1</v>
      </c>
      <c r="J6" s="25">
        <v>1</v>
      </c>
      <c r="K6" s="25">
        <v>6</v>
      </c>
      <c r="L6" s="24"/>
      <c r="M6" s="24"/>
      <c r="N6" s="26">
        <v>1</v>
      </c>
    </row>
    <row r="7" spans="2:80" ht="30" customHeight="1" x14ac:dyDescent="0.3">
      <c r="B7" s="27" t="s">
        <v>34</v>
      </c>
      <c r="C7" s="21" t="s">
        <v>35</v>
      </c>
      <c r="D7" s="22" t="s">
        <v>36</v>
      </c>
      <c r="E7" s="22">
        <v>4</v>
      </c>
      <c r="F7" s="22">
        <v>18</v>
      </c>
      <c r="G7" s="22">
        <v>5</v>
      </c>
      <c r="H7" s="23">
        <v>13</v>
      </c>
      <c r="I7" s="24">
        <v>2</v>
      </c>
      <c r="J7" s="25">
        <v>2</v>
      </c>
      <c r="K7" s="25">
        <v>6</v>
      </c>
      <c r="L7" s="24"/>
      <c r="M7" s="24"/>
      <c r="N7" s="26">
        <v>1</v>
      </c>
    </row>
    <row r="8" spans="2:80" ht="30" customHeight="1" x14ac:dyDescent="0.3">
      <c r="B8" s="27" t="s">
        <v>37</v>
      </c>
      <c r="C8" s="21" t="s">
        <v>38</v>
      </c>
      <c r="D8" s="22" t="s">
        <v>39</v>
      </c>
      <c r="E8" s="22">
        <v>3</v>
      </c>
      <c r="F8" s="22">
        <v>8</v>
      </c>
      <c r="G8" s="22"/>
      <c r="H8" s="23">
        <v>8</v>
      </c>
      <c r="I8" s="24">
        <v>6</v>
      </c>
      <c r="J8" s="25">
        <v>6</v>
      </c>
      <c r="K8" s="25">
        <v>3</v>
      </c>
      <c r="L8" s="24"/>
      <c r="M8" s="24"/>
      <c r="N8" s="26">
        <v>0</v>
      </c>
    </row>
    <row r="9" spans="2:80" ht="30" customHeight="1" x14ac:dyDescent="0.3">
      <c r="B9" s="27" t="s">
        <v>40</v>
      </c>
      <c r="C9" s="21" t="s">
        <v>41</v>
      </c>
      <c r="D9" s="22" t="s">
        <v>42</v>
      </c>
      <c r="E9" s="22">
        <v>2</v>
      </c>
      <c r="F9" s="22">
        <v>6</v>
      </c>
      <c r="G9" s="22"/>
      <c r="H9" s="23">
        <v>6</v>
      </c>
      <c r="I9" s="24">
        <v>0</v>
      </c>
      <c r="J9" s="25">
        <v>7</v>
      </c>
      <c r="K9" s="25">
        <v>2</v>
      </c>
      <c r="L9" s="24"/>
      <c r="M9" s="24"/>
      <c r="N9" s="26">
        <v>0</v>
      </c>
    </row>
    <row r="10" spans="2:80" ht="30" customHeight="1" x14ac:dyDescent="0.3">
      <c r="B10" s="20"/>
      <c r="C10" s="21" t="s">
        <v>43</v>
      </c>
      <c r="D10" s="22" t="s">
        <v>44</v>
      </c>
      <c r="E10" s="22">
        <v>2</v>
      </c>
      <c r="F10" s="22">
        <v>6</v>
      </c>
      <c r="G10" s="22"/>
      <c r="H10" s="23">
        <v>6</v>
      </c>
      <c r="I10" s="24">
        <v>0</v>
      </c>
      <c r="J10" s="25">
        <v>8</v>
      </c>
      <c r="K10" s="25">
        <v>2</v>
      </c>
      <c r="L10" s="24"/>
      <c r="M10" s="24"/>
      <c r="N10" s="26">
        <v>0</v>
      </c>
    </row>
    <row r="11" spans="2:80" ht="30" customHeight="1" x14ac:dyDescent="0.3">
      <c r="B11" s="20"/>
      <c r="C11" s="21" t="s">
        <v>45</v>
      </c>
      <c r="D11" s="22" t="s">
        <v>46</v>
      </c>
      <c r="E11" s="22">
        <v>2</v>
      </c>
      <c r="F11" s="22">
        <v>7</v>
      </c>
      <c r="G11" s="22"/>
      <c r="H11" s="23">
        <v>7</v>
      </c>
      <c r="I11" s="24">
        <v>27</v>
      </c>
      <c r="J11" s="25">
        <v>27</v>
      </c>
      <c r="K11" s="25">
        <v>1</v>
      </c>
      <c r="L11" s="24"/>
      <c r="M11" s="24"/>
      <c r="N11" s="26">
        <v>0</v>
      </c>
    </row>
    <row r="12" spans="2:80" ht="30" customHeight="1" x14ac:dyDescent="0.3">
      <c r="B12" s="27" t="s">
        <v>47</v>
      </c>
      <c r="C12" s="21" t="s">
        <v>48</v>
      </c>
      <c r="D12" s="22" t="s">
        <v>49</v>
      </c>
      <c r="E12" s="22">
        <v>3</v>
      </c>
      <c r="F12" s="22">
        <v>10</v>
      </c>
      <c r="G12" s="22"/>
      <c r="H12" s="23">
        <v>10</v>
      </c>
      <c r="I12" s="24">
        <v>0</v>
      </c>
      <c r="J12" s="25">
        <v>9</v>
      </c>
      <c r="K12" s="25">
        <v>2</v>
      </c>
      <c r="L12" s="24"/>
      <c r="M12" s="24"/>
      <c r="N12" s="26">
        <v>0</v>
      </c>
    </row>
    <row r="13" spans="2:80" ht="30" customHeight="1" x14ac:dyDescent="0.3">
      <c r="B13" s="27" t="s">
        <v>50</v>
      </c>
      <c r="C13" s="21" t="s">
        <v>51</v>
      </c>
      <c r="D13" s="22" t="s">
        <v>42</v>
      </c>
      <c r="E13" s="22">
        <v>4</v>
      </c>
      <c r="F13" s="22">
        <v>14</v>
      </c>
      <c r="G13" s="22"/>
      <c r="H13" s="23">
        <v>14</v>
      </c>
      <c r="I13" s="24">
        <v>0</v>
      </c>
      <c r="J13" s="25">
        <v>10</v>
      </c>
      <c r="K13" s="25">
        <v>3</v>
      </c>
      <c r="L13" s="24"/>
      <c r="M13" s="24"/>
      <c r="N13" s="26">
        <v>0</v>
      </c>
    </row>
    <row r="14" spans="2:80" ht="30" customHeight="1" x14ac:dyDescent="0.3">
      <c r="B14" s="20"/>
      <c r="C14" s="21" t="s">
        <v>52</v>
      </c>
      <c r="D14" s="22" t="s">
        <v>33</v>
      </c>
      <c r="E14" s="22">
        <v>5</v>
      </c>
      <c r="F14" s="22">
        <v>17</v>
      </c>
      <c r="G14" s="22"/>
      <c r="H14" s="23">
        <v>17</v>
      </c>
      <c r="I14" s="24">
        <v>0</v>
      </c>
      <c r="J14" s="25">
        <v>11</v>
      </c>
      <c r="K14" s="25">
        <v>6</v>
      </c>
      <c r="L14" s="24"/>
      <c r="M14" s="24"/>
      <c r="N14" s="26">
        <v>0</v>
      </c>
    </row>
    <row r="15" spans="2:80" ht="30" customHeight="1" x14ac:dyDescent="0.3">
      <c r="B15" s="32" t="s">
        <v>53</v>
      </c>
      <c r="C15" s="21" t="s">
        <v>54</v>
      </c>
      <c r="D15" s="22" t="s">
        <v>55</v>
      </c>
      <c r="E15" s="22">
        <v>5</v>
      </c>
      <c r="F15" s="22">
        <v>17</v>
      </c>
      <c r="G15" s="22"/>
      <c r="H15" s="23">
        <v>17</v>
      </c>
      <c r="I15" s="24">
        <v>0</v>
      </c>
      <c r="J15" s="25">
        <v>15</v>
      </c>
      <c r="K15" s="25">
        <v>3</v>
      </c>
      <c r="L15" s="24"/>
      <c r="M15" s="24"/>
      <c r="N15" s="26">
        <v>0</v>
      </c>
    </row>
    <row r="16" spans="2:80" ht="30" customHeight="1" x14ac:dyDescent="0.3">
      <c r="B16" s="20"/>
      <c r="C16" s="21" t="s">
        <v>56</v>
      </c>
      <c r="D16" s="22" t="s">
        <v>57</v>
      </c>
      <c r="E16" s="22">
        <v>3</v>
      </c>
      <c r="F16" s="22">
        <v>10</v>
      </c>
      <c r="G16" s="22"/>
      <c r="H16" s="23">
        <v>10</v>
      </c>
      <c r="I16" s="24">
        <v>0</v>
      </c>
      <c r="J16" s="25">
        <v>17</v>
      </c>
      <c r="K16" s="25">
        <v>3</v>
      </c>
      <c r="L16" s="24"/>
      <c r="M16" s="24"/>
      <c r="N16" s="26">
        <v>0</v>
      </c>
    </row>
    <row r="17" spans="2:14" ht="30" customHeight="1" x14ac:dyDescent="0.3">
      <c r="B17" s="20"/>
      <c r="C17" s="21" t="s">
        <v>58</v>
      </c>
      <c r="D17" s="22" t="s">
        <v>59</v>
      </c>
      <c r="E17" s="22">
        <v>2</v>
      </c>
      <c r="F17" s="22">
        <v>7</v>
      </c>
      <c r="G17" s="22"/>
      <c r="H17" s="23">
        <v>7</v>
      </c>
      <c r="I17" s="24">
        <v>0</v>
      </c>
      <c r="J17" s="25">
        <v>18</v>
      </c>
      <c r="K17" s="25">
        <v>2</v>
      </c>
      <c r="L17" s="24"/>
      <c r="M17" s="24"/>
      <c r="N17" s="26">
        <v>0</v>
      </c>
    </row>
    <row r="18" spans="2:14" ht="30" customHeight="1" x14ac:dyDescent="0.3">
      <c r="B18" s="27" t="s">
        <v>60</v>
      </c>
      <c r="C18" s="21" t="s">
        <v>61</v>
      </c>
      <c r="D18" s="22" t="s">
        <v>59</v>
      </c>
      <c r="E18" s="22">
        <v>3</v>
      </c>
      <c r="F18" s="22">
        <v>10</v>
      </c>
      <c r="G18" s="22"/>
      <c r="H18" s="23">
        <v>10</v>
      </c>
      <c r="I18" s="24">
        <v>0</v>
      </c>
      <c r="J18" s="25">
        <v>19</v>
      </c>
      <c r="K18" s="25">
        <v>2</v>
      </c>
      <c r="L18" s="24"/>
      <c r="M18" s="24"/>
      <c r="N18" s="26">
        <v>0</v>
      </c>
    </row>
    <row r="19" spans="2:14" ht="30" customHeight="1" x14ac:dyDescent="0.3">
      <c r="B19" s="27" t="s">
        <v>62</v>
      </c>
      <c r="C19" s="21" t="s">
        <v>63</v>
      </c>
      <c r="D19" s="22" t="s">
        <v>64</v>
      </c>
      <c r="E19" s="22">
        <v>3</v>
      </c>
      <c r="F19" s="22">
        <v>10</v>
      </c>
      <c r="G19" s="22"/>
      <c r="H19" s="23">
        <v>10</v>
      </c>
      <c r="I19" s="24">
        <v>0</v>
      </c>
      <c r="J19" s="25">
        <v>20</v>
      </c>
      <c r="K19" s="25">
        <v>3</v>
      </c>
      <c r="L19" s="24"/>
      <c r="M19" s="24"/>
      <c r="N19" s="26">
        <v>0</v>
      </c>
    </row>
    <row r="20" spans="2:14" ht="30" customHeight="1" x14ac:dyDescent="0.3">
      <c r="B20" s="27" t="s">
        <v>34</v>
      </c>
      <c r="C20" s="21" t="s">
        <v>65</v>
      </c>
      <c r="D20" s="22" t="s">
        <v>36</v>
      </c>
      <c r="E20" s="22">
        <v>3</v>
      </c>
      <c r="F20" s="22">
        <v>17</v>
      </c>
      <c r="G20" s="22"/>
      <c r="H20" s="23">
        <v>17</v>
      </c>
      <c r="I20" s="24">
        <v>0</v>
      </c>
      <c r="J20" s="25">
        <v>21</v>
      </c>
      <c r="K20" s="25">
        <v>4</v>
      </c>
      <c r="L20" s="24"/>
      <c r="M20" s="24"/>
      <c r="N20" s="26">
        <v>0</v>
      </c>
    </row>
    <row r="21" spans="2:14" ht="30" customHeight="1" x14ac:dyDescent="0.3">
      <c r="B21" s="27" t="s">
        <v>66</v>
      </c>
      <c r="C21" s="21" t="s">
        <v>67</v>
      </c>
      <c r="D21" s="22" t="s">
        <v>68</v>
      </c>
      <c r="E21" s="22">
        <v>1</v>
      </c>
      <c r="F21" s="22">
        <v>3</v>
      </c>
      <c r="G21" s="22"/>
      <c r="H21" s="23">
        <v>3</v>
      </c>
      <c r="I21" s="24">
        <v>0</v>
      </c>
      <c r="J21" s="25">
        <v>23</v>
      </c>
      <c r="K21" s="25">
        <v>1</v>
      </c>
      <c r="L21" s="24"/>
      <c r="M21" s="24"/>
      <c r="N21" s="26">
        <v>0</v>
      </c>
    </row>
    <row r="22" spans="2:14" ht="30" customHeight="1" x14ac:dyDescent="0.3">
      <c r="B22" s="27" t="s">
        <v>69</v>
      </c>
      <c r="C22" s="21" t="s">
        <v>70</v>
      </c>
      <c r="D22" s="22" t="s">
        <v>71</v>
      </c>
      <c r="E22" s="22">
        <v>1</v>
      </c>
      <c r="F22" s="22">
        <v>2</v>
      </c>
      <c r="G22" s="22"/>
      <c r="H22" s="23">
        <v>2</v>
      </c>
      <c r="I22" s="24">
        <v>0</v>
      </c>
      <c r="J22" s="25">
        <v>23</v>
      </c>
      <c r="K22" s="25">
        <v>1</v>
      </c>
      <c r="L22" s="24"/>
      <c r="M22" s="24"/>
      <c r="N22" s="26">
        <v>0</v>
      </c>
    </row>
    <row r="23" spans="2:14" ht="30" customHeight="1" x14ac:dyDescent="0.3">
      <c r="B23" s="27" t="s">
        <v>72</v>
      </c>
      <c r="C23" s="21" t="s">
        <v>73</v>
      </c>
      <c r="D23" s="22" t="s">
        <v>74</v>
      </c>
      <c r="E23" s="22">
        <v>3</v>
      </c>
      <c r="F23" s="22">
        <v>10</v>
      </c>
      <c r="G23" s="22"/>
      <c r="H23" s="23">
        <v>10</v>
      </c>
      <c r="I23" s="24">
        <v>0</v>
      </c>
      <c r="J23" s="25">
        <v>24</v>
      </c>
      <c r="K23" s="25">
        <v>4</v>
      </c>
      <c r="L23" s="24"/>
      <c r="M23" s="24"/>
      <c r="N23" s="26">
        <v>0</v>
      </c>
    </row>
    <row r="24" spans="2:14" ht="30" customHeight="1" x14ac:dyDescent="0.3">
      <c r="B24" s="27" t="s">
        <v>75</v>
      </c>
      <c r="C24" s="21" t="s">
        <v>76</v>
      </c>
      <c r="D24" s="22" t="s">
        <v>77</v>
      </c>
      <c r="E24" s="22">
        <v>3</v>
      </c>
      <c r="F24" s="22">
        <v>10</v>
      </c>
      <c r="G24" s="22"/>
      <c r="H24" s="23">
        <v>10</v>
      </c>
      <c r="I24" s="24">
        <v>0</v>
      </c>
      <c r="J24" s="25">
        <v>28</v>
      </c>
      <c r="K24" s="25">
        <v>2</v>
      </c>
      <c r="L24" s="24"/>
      <c r="M24" s="24"/>
      <c r="N24" s="26">
        <v>0</v>
      </c>
    </row>
    <row r="25" spans="2:14" ht="30" customHeight="1" x14ac:dyDescent="0.3">
      <c r="B25" s="27" t="s">
        <v>78</v>
      </c>
      <c r="C25" s="21" t="s">
        <v>79</v>
      </c>
      <c r="D25" s="22" t="s">
        <v>80</v>
      </c>
      <c r="E25" s="22">
        <v>2</v>
      </c>
      <c r="F25" s="22">
        <v>6</v>
      </c>
      <c r="G25" s="22"/>
      <c r="H25" s="23">
        <v>6</v>
      </c>
      <c r="I25" s="24">
        <v>0</v>
      </c>
      <c r="J25" s="25">
        <v>29</v>
      </c>
      <c r="K25" s="25">
        <v>2</v>
      </c>
      <c r="L25" s="24"/>
      <c r="M25" s="24"/>
      <c r="N25" s="26">
        <v>0</v>
      </c>
    </row>
    <row r="26" spans="2:14" ht="30" customHeight="1" x14ac:dyDescent="0.3">
      <c r="B26" s="20"/>
      <c r="C26" s="21" t="s">
        <v>81</v>
      </c>
      <c r="D26" s="22" t="s">
        <v>82</v>
      </c>
      <c r="E26" s="22">
        <v>3</v>
      </c>
      <c r="F26" s="22">
        <v>10</v>
      </c>
      <c r="G26" s="22"/>
      <c r="H26" s="23">
        <v>10</v>
      </c>
      <c r="I26" s="24">
        <v>0</v>
      </c>
      <c r="J26" s="25">
        <v>29</v>
      </c>
      <c r="K26" s="25">
        <v>3</v>
      </c>
      <c r="L26" s="24"/>
      <c r="M26" s="24"/>
      <c r="N26" s="26">
        <v>0</v>
      </c>
    </row>
    <row r="27" spans="2:14" ht="30" customHeight="1" x14ac:dyDescent="0.3">
      <c r="B27" s="20"/>
      <c r="C27" s="21" t="s">
        <v>83</v>
      </c>
      <c r="D27" s="22" t="s">
        <v>84</v>
      </c>
      <c r="E27" s="22">
        <v>3</v>
      </c>
      <c r="F27" s="22">
        <v>10</v>
      </c>
      <c r="G27" s="22"/>
      <c r="H27" s="23">
        <v>10</v>
      </c>
      <c r="I27" s="24">
        <v>0</v>
      </c>
      <c r="J27" s="25">
        <v>30</v>
      </c>
      <c r="K27" s="25">
        <v>2</v>
      </c>
      <c r="L27" s="24"/>
      <c r="M27" s="24"/>
      <c r="N27" s="26">
        <v>0</v>
      </c>
    </row>
    <row r="28" spans="2:14" ht="30" customHeight="1" x14ac:dyDescent="0.3">
      <c r="B28" s="27" t="s">
        <v>85</v>
      </c>
      <c r="C28" s="21" t="s">
        <v>86</v>
      </c>
      <c r="D28" s="22" t="s">
        <v>87</v>
      </c>
      <c r="E28" s="22">
        <v>3</v>
      </c>
      <c r="F28" s="22">
        <v>10</v>
      </c>
      <c r="G28" s="22"/>
      <c r="H28" s="23">
        <v>10</v>
      </c>
      <c r="I28" s="24">
        <v>0</v>
      </c>
      <c r="J28" s="25">
        <v>32</v>
      </c>
      <c r="K28" s="25">
        <v>2</v>
      </c>
      <c r="L28" s="24"/>
      <c r="M28" s="24"/>
      <c r="N28" s="26">
        <v>0</v>
      </c>
    </row>
    <row r="29" spans="2:14" ht="30" customHeight="1" x14ac:dyDescent="0.3">
      <c r="B29" s="20"/>
      <c r="C29" s="21" t="s">
        <v>88</v>
      </c>
      <c r="D29" s="22" t="s">
        <v>46</v>
      </c>
      <c r="E29" s="22">
        <v>3</v>
      </c>
      <c r="F29" s="22">
        <v>10</v>
      </c>
      <c r="G29" s="22"/>
      <c r="H29" s="23">
        <v>10</v>
      </c>
      <c r="I29" s="24">
        <v>0</v>
      </c>
      <c r="J29" s="25">
        <v>33</v>
      </c>
      <c r="K29" s="25">
        <v>2</v>
      </c>
      <c r="L29" s="24"/>
      <c r="M29" s="24"/>
      <c r="N29" s="26">
        <v>0</v>
      </c>
    </row>
    <row r="30" spans="2:14" ht="30" customHeight="1" x14ac:dyDescent="0.3">
      <c r="B30" s="20"/>
      <c r="C30" s="21" t="s">
        <v>89</v>
      </c>
      <c r="D30" s="22"/>
      <c r="E30" s="22">
        <v>2</v>
      </c>
      <c r="F30" s="22">
        <v>7</v>
      </c>
      <c r="G30" s="22"/>
      <c r="H30" s="23">
        <v>7</v>
      </c>
      <c r="I30" s="24">
        <v>0</v>
      </c>
      <c r="J30" s="25">
        <v>34</v>
      </c>
      <c r="K30" s="25">
        <v>1</v>
      </c>
      <c r="L30" s="24"/>
      <c r="M30" s="24"/>
      <c r="N30" s="26">
        <v>0</v>
      </c>
    </row>
    <row r="31" spans="2:14" ht="30" customHeight="1" x14ac:dyDescent="0.3">
      <c r="B31" s="20"/>
      <c r="C31" s="21" t="s">
        <v>90</v>
      </c>
      <c r="D31" s="22"/>
      <c r="E31" s="22">
        <v>5</v>
      </c>
      <c r="F31" s="22">
        <v>22</v>
      </c>
      <c r="G31" s="22"/>
      <c r="H31" s="23">
        <v>22</v>
      </c>
      <c r="I31" s="24">
        <v>0</v>
      </c>
      <c r="J31" s="25">
        <v>35</v>
      </c>
      <c r="K31" s="25">
        <v>5</v>
      </c>
      <c r="L31" s="24"/>
      <c r="M31" s="24"/>
      <c r="N31" s="26">
        <v>0</v>
      </c>
    </row>
    <row r="32" spans="2:14" ht="30" customHeight="1" x14ac:dyDescent="0.3">
      <c r="B32" s="20"/>
      <c r="C32" s="21" t="s">
        <v>91</v>
      </c>
      <c r="D32" s="22"/>
      <c r="E32" s="22">
        <v>3</v>
      </c>
      <c r="F32" s="22">
        <v>10</v>
      </c>
      <c r="G32" s="22"/>
      <c r="H32" s="23">
        <v>10</v>
      </c>
      <c r="I32" s="24">
        <v>0</v>
      </c>
      <c r="J32" s="25">
        <v>39</v>
      </c>
      <c r="K32" s="25">
        <v>2</v>
      </c>
      <c r="L32" s="24"/>
      <c r="M32" s="24"/>
      <c r="N32" s="26">
        <v>0</v>
      </c>
    </row>
    <row r="33" spans="2:14" ht="30" customHeight="1" x14ac:dyDescent="0.3">
      <c r="B33" s="20"/>
      <c r="C33" s="21" t="s">
        <v>101</v>
      </c>
      <c r="D33" s="22" t="s">
        <v>39</v>
      </c>
      <c r="E33" s="22"/>
      <c r="F33" s="22"/>
      <c r="G33" s="22"/>
      <c r="H33" s="23">
        <f>INT(F33*(1-N33))</f>
        <v>0</v>
      </c>
      <c r="I33" s="24">
        <v>0</v>
      </c>
      <c r="J33" s="25"/>
      <c r="K33" s="25"/>
      <c r="L33" s="24"/>
      <c r="M33" s="24"/>
      <c r="N33" s="26">
        <v>0</v>
      </c>
    </row>
    <row r="34" spans="2:14" ht="30" customHeight="1" x14ac:dyDescent="0.3">
      <c r="B34" s="20"/>
      <c r="C34" s="21"/>
      <c r="D34" s="22"/>
      <c r="E34" s="22"/>
      <c r="F34" s="22"/>
      <c r="G34" s="22"/>
      <c r="H34" s="23">
        <f>INT(F34*(1-N34))</f>
        <v>0</v>
      </c>
      <c r="I34" s="24">
        <v>0</v>
      </c>
      <c r="J34" s="25"/>
      <c r="K34" s="25"/>
      <c r="L34" s="24"/>
      <c r="M34" s="24"/>
      <c r="N34" s="26">
        <v>0</v>
      </c>
    </row>
    <row r="35" spans="2:14" ht="30" customHeight="1" x14ac:dyDescent="0.3">
      <c r="B35" s="20"/>
      <c r="C35" s="21"/>
      <c r="D35" s="22"/>
      <c r="E35" s="22"/>
      <c r="F35" s="22"/>
      <c r="G35" s="22"/>
      <c r="H35" s="23">
        <f>INT(F35*(1-N35))</f>
        <v>0</v>
      </c>
      <c r="I35" s="24">
        <v>0</v>
      </c>
      <c r="J35" s="25"/>
      <c r="K35" s="25"/>
      <c r="L35" s="24"/>
      <c r="M35" s="24"/>
      <c r="N35" s="26">
        <v>0</v>
      </c>
    </row>
    <row r="36" spans="2:14" ht="30" customHeight="1" x14ac:dyDescent="0.3">
      <c r="B36" s="20"/>
      <c r="C36" s="21"/>
      <c r="D36" s="22"/>
      <c r="E36" s="22"/>
      <c r="F36" s="22"/>
      <c r="G36" s="22"/>
      <c r="H36" s="23">
        <f>INT(F36*(1-N36))</f>
        <v>0</v>
      </c>
      <c r="I36" s="24">
        <v>0</v>
      </c>
      <c r="J36" s="25"/>
      <c r="K36" s="25"/>
      <c r="L36" s="24"/>
      <c r="M36" s="24"/>
      <c r="N36" s="26">
        <v>0</v>
      </c>
    </row>
    <row r="42" spans="2:14" ht="30" customHeight="1" x14ac:dyDescent="0.3">
      <c r="F42" s="2" t="s">
        <v>96</v>
      </c>
      <c r="H42" s="2">
        <f xml:space="preserve"> SUM(H6:H36)</f>
        <v>284</v>
      </c>
    </row>
  </sheetData>
  <mergeCells count="56">
    <mergeCell ref="I3:I5"/>
    <mergeCell ref="BE4:BF4"/>
    <mergeCell ref="BC4:BD4"/>
    <mergeCell ref="O3:R3"/>
    <mergeCell ref="S3:AD3"/>
    <mergeCell ref="AE3:AN3"/>
    <mergeCell ref="AO3:AX3"/>
    <mergeCell ref="U4:V4"/>
    <mergeCell ref="W4:X4"/>
    <mergeCell ref="Y4:Z4"/>
    <mergeCell ref="AO4:AP4"/>
    <mergeCell ref="AA4:AB4"/>
    <mergeCell ref="AC4:AD4"/>
    <mergeCell ref="BG4:BH4"/>
    <mergeCell ref="BI4:BJ4"/>
    <mergeCell ref="BK4:BL4"/>
    <mergeCell ref="BM4:BN4"/>
    <mergeCell ref="BI3:BR3"/>
    <mergeCell ref="AY3:BH3"/>
    <mergeCell ref="AY4:AZ4"/>
    <mergeCell ref="BA4:BB4"/>
    <mergeCell ref="BS3:BV3"/>
    <mergeCell ref="BO4:BP4"/>
    <mergeCell ref="BQ4:BR4"/>
    <mergeCell ref="BS4:BT4"/>
    <mergeCell ref="BU4:BV4"/>
    <mergeCell ref="B3:B5"/>
    <mergeCell ref="F3:F5"/>
    <mergeCell ref="E3:E5"/>
    <mergeCell ref="D3:D5"/>
    <mergeCell ref="H3:H5"/>
    <mergeCell ref="G3:G5"/>
    <mergeCell ref="AP2:AW2"/>
    <mergeCell ref="C2:M2"/>
    <mergeCell ref="C3:C5"/>
    <mergeCell ref="J3:J5"/>
    <mergeCell ref="K3:K5"/>
    <mergeCell ref="L3:L5"/>
    <mergeCell ref="M3:M5"/>
    <mergeCell ref="N3:N5"/>
    <mergeCell ref="R2:V2"/>
    <mergeCell ref="X2:AA2"/>
    <mergeCell ref="AC2:AF2"/>
    <mergeCell ref="AH2:AN2"/>
    <mergeCell ref="O4:P4"/>
    <mergeCell ref="Q4:R4"/>
    <mergeCell ref="S4:T4"/>
    <mergeCell ref="AW4:AX4"/>
    <mergeCell ref="AU4:AV4"/>
    <mergeCell ref="AQ4:AR4"/>
    <mergeCell ref="AE4:AF4"/>
    <mergeCell ref="AG4:AH4"/>
    <mergeCell ref="AI4:AJ4"/>
    <mergeCell ref="AK4:AL4"/>
    <mergeCell ref="AM4:AN4"/>
    <mergeCell ref="AS4:AT4"/>
  </mergeCells>
  <conditionalFormatting sqref="O6:BV36">
    <cfRule type="expression" dxfId="10" priority="1">
      <formula>PercentComplete</formula>
    </cfRule>
    <cfRule type="expression" dxfId="9" priority="3">
      <formula>PercentCompleteBeyond</formula>
    </cfRule>
    <cfRule type="expression" dxfId="8" priority="4">
      <formula>Actual</formula>
    </cfRule>
    <cfRule type="expression" dxfId="7" priority="5">
      <formula>ActualBeyond</formula>
    </cfRule>
    <cfRule type="expression" dxfId="6" priority="6">
      <formula>Plan</formula>
    </cfRule>
    <cfRule type="expression" dxfId="5" priority="7">
      <formula>O$5=period_selected</formula>
    </cfRule>
    <cfRule type="expression" dxfId="4" priority="11">
      <formula>MOD(COLUMN(),2)</formula>
    </cfRule>
    <cfRule type="expression" dxfId="3" priority="12">
      <formula>MOD(COLUMN(),2)=0</formula>
    </cfRule>
  </conditionalFormatting>
  <conditionalFormatting sqref="C37:BV37">
    <cfRule type="expression" dxfId="2" priority="2">
      <formula>TRUE</formula>
    </cfRule>
  </conditionalFormatting>
  <conditionalFormatting sqref="O5:BV5">
    <cfRule type="expression" dxfId="1" priority="8">
      <formula>O$5=period_selected</formula>
    </cfRule>
  </conditionalFormatting>
  <dataValidations xWindow="1226" yWindow="457"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B1" xr:uid="{00000000-0002-0000-0000-000000000000}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O2" xr:uid="{00000000-0002-0000-0000-000001000000}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Q2" xr:uid="{00000000-0002-0000-0000-000002000000}"/>
    <dataValidation allowBlank="1" showInputMessage="1" showErrorMessage="1" prompt="This legend cell indicates actual duration" sqref="W2" xr:uid="{00000000-0002-0000-0000-000003000000}"/>
    <dataValidation allowBlank="1" showInputMessage="1" showErrorMessage="1" prompt="This legend cell indicates the percentage of project completed" sqref="AB2" xr:uid="{00000000-0002-0000-0000-000004000000}"/>
    <dataValidation allowBlank="1" showInputMessage="1" showErrorMessage="1" prompt="This legend cell indicates actual duration beyond plan" sqref="AG2" xr:uid="{00000000-0002-0000-0000-000005000000}"/>
    <dataValidation allowBlank="1" showInputMessage="1" showErrorMessage="1" prompt="This legend cell indicates the percentage of project completed beyond plan" sqref="AO2" xr:uid="{00000000-0002-0000-0000-000006000000}"/>
    <dataValidation allowBlank="1" showInputMessage="1" showErrorMessage="1" prompt="Periods are charted from 1 to 60 starting from cell H4 to cell BO4 " sqref="O3:O4" xr:uid="{00000000-0002-0000-0000-000007000000}"/>
    <dataValidation allowBlank="1" showInputMessage="1" showErrorMessage="1" prompt="Enter activity in column B, starting with cell B5_x000a_" sqref="C3:C5 D3:F4 G3 H3:H4" xr:uid="{00000000-0002-0000-0000-000008000000}"/>
    <dataValidation allowBlank="1" showInputMessage="1" showErrorMessage="1" prompt="Enter plan start period in column C, starting with cell C5" sqref="I3:J5" xr:uid="{00000000-0002-0000-0000-000009000000}"/>
    <dataValidation allowBlank="1" showInputMessage="1" showErrorMessage="1" prompt="Enter actual start period in column E, starting with cell E5" sqref="L3:L5" xr:uid="{00000000-0002-0000-0000-00000B000000}"/>
    <dataValidation allowBlank="1" showInputMessage="1" showErrorMessage="1" prompt="Enter actual duration period in column F, starting with cell F5" sqref="M3:M5" xr:uid="{00000000-0002-0000-0000-00000C000000}"/>
    <dataValidation allowBlank="1" showInputMessage="1" showErrorMessage="1" prompt="Enter the percentage of project completed in column G, starting with cell G5" sqref="N3:N5" xr:uid="{00000000-0002-0000-0000-00000D000000}"/>
    <dataValidation allowBlank="1" showInputMessage="1" showErrorMessage="1" prompt="Title of the project. Enter a new title in this cell. Highlight a period in H2. Chart legend is in J2 to AI2" sqref="C1:I1" xr:uid="{00000000-0002-0000-0000-00000E000000}"/>
    <dataValidation allowBlank="1" showInputMessage="1" showErrorMessage="1" prompt="Enter plan duration period in column D, starting with cell D5" sqref="K3:K5" xr:uid="{00000000-0002-0000-0000-00000A000000}"/>
    <dataValidation allowBlank="1" showInputMessage="1" showErrorMessage="1" prompt="Select a period to highlight in H2. A Chart legend is in J2 to AI2" sqref="C2:M2" xr:uid="{00000000-0002-0000-0000-00000F000000}"/>
  </dataValidations>
  <hyperlinks>
    <hyperlink ref="B7" r:id="rId1" display="https://mxjira.murex.com/browse/KPB-134" xr:uid="{00000000-0004-0000-0000-000000000000}"/>
    <hyperlink ref="B8" r:id="rId2" display="https://mxjira.murex.com/browse/KPB-696" xr:uid="{00000000-0004-0000-0000-000001000000}"/>
    <hyperlink ref="B9" r:id="rId3" display="https://mxjira.murex.com/browse/KPB-38" xr:uid="{00000000-0004-0000-0000-000002000000}"/>
    <hyperlink ref="B12" r:id="rId4" display="https://mxjira.murex.com/browse/KPB-697" xr:uid="{00000000-0004-0000-0000-000003000000}"/>
    <hyperlink ref="B13" r:id="rId5" display="https://mxjira.murex.com/browse/KPB-186" xr:uid="{00000000-0004-0000-0000-000004000000}"/>
    <hyperlink ref="B18" r:id="rId6" display="https://mxjira.murex.com/browse/KPB-340" xr:uid="{00000000-0004-0000-0000-000005000000}"/>
    <hyperlink ref="B19" r:id="rId7" display="https://mxjira.murex.com/browse/KPB-475" xr:uid="{00000000-0004-0000-0000-000006000000}"/>
    <hyperlink ref="B20" r:id="rId8" display="https://mxjira.murex.com/browse/KPB-134" xr:uid="{00000000-0004-0000-0000-000007000000}"/>
    <hyperlink ref="B21" r:id="rId9" display="https://mxjira.murex.com/browse/KPB-189" xr:uid="{00000000-0004-0000-0000-000008000000}"/>
    <hyperlink ref="B22" r:id="rId10" display="https://mxjira.murex.com/browse/KPB-549" xr:uid="{00000000-0004-0000-0000-000009000000}"/>
    <hyperlink ref="B23" r:id="rId11" display="https://mxjira.murex.com/browse/KPB-180" xr:uid="{00000000-0004-0000-0000-00000A000000}"/>
    <hyperlink ref="B24" r:id="rId12" display="https://mxjira.murex.com/browse/KPB-664" xr:uid="{00000000-0004-0000-0000-00000B000000}"/>
    <hyperlink ref="B25" r:id="rId13" display="https://mxjira.murex.com/browse/KPB-759" xr:uid="{00000000-0004-0000-0000-00000C000000}"/>
    <hyperlink ref="B28" r:id="rId14" display="https://mxjira.murex.com/browse/KPB-313" xr:uid="{00000000-0004-0000-0000-00000D000000}"/>
    <hyperlink ref="B6" r:id="rId15" xr:uid="{00000000-0004-0000-0000-00000E000000}"/>
  </hyperlinks>
  <printOptions horizontalCentered="1"/>
  <pageMargins left="0.45" right="0.45" top="0.5" bottom="0.5" header="0.3" footer="0.3"/>
  <pageSetup scale="34" fitToHeight="0" orientation="landscape" r:id="rId16"/>
  <headerFooter differentFirst="1">
    <oddFooter>Page &amp;P of &amp;N</oddFooter>
  </headerFooter>
  <drawing r:id="rId17"/>
  <legacyDrawing r:id="rId1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9" name="Button 1">
              <controlPr defaultSize="0" print="0" autoFill="0" autoPict="0" macro="[0]!Sheet1.EvaluatePlanner">
                <anchor moveWithCells="1" sizeWithCells="1">
                  <from>
                    <xdr:col>7</xdr:col>
                    <xdr:colOff>838200</xdr:colOff>
                    <xdr:row>0</xdr:row>
                    <xdr:rowOff>190500</xdr:rowOff>
                  </from>
                  <to>
                    <xdr:col>8</xdr:col>
                    <xdr:colOff>923925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K78"/>
  <sheetViews>
    <sheetView workbookViewId="0">
      <selection activeCell="E63" sqref="E63"/>
    </sheetView>
  </sheetViews>
  <sheetFormatPr defaultRowHeight="15" x14ac:dyDescent="0.25"/>
  <cols>
    <col min="1" max="1" width="12.375" bestFit="1" customWidth="1"/>
    <col min="2" max="2" width="11" bestFit="1" customWidth="1"/>
    <col min="4" max="5" width="13.5" customWidth="1"/>
    <col min="6" max="6" width="12.125" bestFit="1" customWidth="1"/>
    <col min="7" max="7" width="18.125" bestFit="1" customWidth="1"/>
    <col min="8" max="8" width="17" bestFit="1" customWidth="1"/>
    <col min="9" max="9" width="17.25" bestFit="1" customWidth="1"/>
  </cols>
  <sheetData>
    <row r="1" spans="1:10" x14ac:dyDescent="0.25">
      <c r="A1" t="s">
        <v>92</v>
      </c>
      <c r="B1" s="28" t="s">
        <v>93</v>
      </c>
      <c r="C1" s="19" t="s">
        <v>94</v>
      </c>
      <c r="D1" s="35" t="s">
        <v>95</v>
      </c>
      <c r="E1" s="37"/>
      <c r="F1" s="37"/>
      <c r="G1" s="29"/>
      <c r="H1" s="37"/>
      <c r="I1" s="37"/>
      <c r="J1" s="37"/>
    </row>
    <row r="2" spans="1:10" x14ac:dyDescent="0.25">
      <c r="A2" s="38" t="s">
        <v>18</v>
      </c>
      <c r="B2" s="38" t="s">
        <v>25</v>
      </c>
      <c r="C2" s="18">
        <v>1</v>
      </c>
      <c r="D2" s="35">
        <v>9</v>
      </c>
      <c r="E2" s="29"/>
      <c r="F2" s="29"/>
      <c r="G2" s="29"/>
      <c r="H2" s="29"/>
      <c r="I2" s="29"/>
      <c r="J2" s="62"/>
    </row>
    <row r="3" spans="1:10" x14ac:dyDescent="0.25">
      <c r="A3" s="38"/>
      <c r="B3" s="38"/>
      <c r="C3" s="18">
        <v>2</v>
      </c>
      <c r="D3" s="35">
        <v>9</v>
      </c>
      <c r="E3" s="29"/>
      <c r="F3" s="29"/>
      <c r="G3" s="29"/>
      <c r="H3" s="29"/>
      <c r="I3" s="29"/>
      <c r="J3" s="62"/>
    </row>
    <row r="4" spans="1:10" x14ac:dyDescent="0.25">
      <c r="A4" s="38"/>
      <c r="B4" s="38" t="s">
        <v>26</v>
      </c>
      <c r="C4" s="18">
        <v>3</v>
      </c>
      <c r="D4" s="35">
        <v>0</v>
      </c>
      <c r="E4" s="29"/>
      <c r="F4" s="29"/>
      <c r="G4" s="29"/>
      <c r="H4" s="29"/>
      <c r="I4" s="29"/>
      <c r="J4" s="62"/>
    </row>
    <row r="5" spans="1:10" x14ac:dyDescent="0.25">
      <c r="A5" s="38"/>
      <c r="B5" s="38"/>
      <c r="C5" s="18">
        <v>4</v>
      </c>
      <c r="D5" s="35">
        <v>0</v>
      </c>
      <c r="E5" s="29"/>
      <c r="F5" s="29"/>
      <c r="G5" s="29"/>
      <c r="H5" s="29"/>
      <c r="I5" s="29"/>
      <c r="J5" s="62"/>
    </row>
    <row r="6" spans="1:10" x14ac:dyDescent="0.25">
      <c r="A6" s="38" t="s">
        <v>19</v>
      </c>
      <c r="B6" s="38" t="s">
        <v>27</v>
      </c>
      <c r="C6" s="18">
        <v>5</v>
      </c>
      <c r="D6" s="35">
        <v>9</v>
      </c>
      <c r="E6" s="29"/>
      <c r="F6" s="29"/>
      <c r="G6" s="29"/>
      <c r="H6" s="29"/>
      <c r="I6" s="29"/>
      <c r="J6" s="29"/>
    </row>
    <row r="7" spans="1:10" x14ac:dyDescent="0.25">
      <c r="A7" s="38"/>
      <c r="B7" s="38"/>
      <c r="C7" s="18">
        <v>6</v>
      </c>
      <c r="D7" s="35">
        <v>9</v>
      </c>
      <c r="E7" s="29"/>
      <c r="F7" s="29"/>
      <c r="G7" s="29"/>
      <c r="H7" s="29"/>
      <c r="I7" s="29"/>
      <c r="J7" s="29"/>
    </row>
    <row r="8" spans="1:10" x14ac:dyDescent="0.25">
      <c r="A8" s="38"/>
      <c r="B8" s="38" t="s">
        <v>28</v>
      </c>
      <c r="C8" s="18">
        <v>7</v>
      </c>
      <c r="D8" s="35">
        <v>9</v>
      </c>
      <c r="E8" s="29"/>
      <c r="F8" s="29"/>
      <c r="G8" s="29"/>
      <c r="H8" s="29"/>
      <c r="I8" s="29"/>
      <c r="J8" s="29"/>
    </row>
    <row r="9" spans="1:10" x14ac:dyDescent="0.25">
      <c r="A9" s="38"/>
      <c r="B9" s="38"/>
      <c r="C9" s="18">
        <v>8</v>
      </c>
      <c r="D9" s="35">
        <v>9</v>
      </c>
      <c r="E9" s="29"/>
      <c r="F9" s="29"/>
      <c r="G9" s="29"/>
      <c r="H9" s="29"/>
      <c r="I9" s="29"/>
      <c r="J9" s="29"/>
    </row>
    <row r="10" spans="1:10" x14ac:dyDescent="0.25">
      <c r="A10" s="38"/>
      <c r="B10" s="38" t="s">
        <v>29</v>
      </c>
      <c r="C10" s="18">
        <v>9</v>
      </c>
      <c r="D10" s="35">
        <v>9</v>
      </c>
      <c r="E10" s="29"/>
      <c r="F10" s="29"/>
      <c r="G10" s="29"/>
      <c r="H10" s="29"/>
      <c r="I10" s="29"/>
      <c r="J10" s="29"/>
    </row>
    <row r="11" spans="1:10" x14ac:dyDescent="0.25">
      <c r="A11" s="38"/>
      <c r="B11" s="38"/>
      <c r="C11" s="18">
        <v>10</v>
      </c>
      <c r="D11" s="35">
        <v>9</v>
      </c>
      <c r="E11" s="29"/>
      <c r="F11" s="29"/>
      <c r="G11" s="29"/>
      <c r="H11" s="29"/>
      <c r="I11" s="29"/>
      <c r="J11" s="29"/>
    </row>
    <row r="12" spans="1:10" x14ac:dyDescent="0.25">
      <c r="A12" s="38"/>
      <c r="B12" s="38" t="s">
        <v>25</v>
      </c>
      <c r="C12" s="18">
        <v>11</v>
      </c>
      <c r="D12" s="35">
        <v>9</v>
      </c>
      <c r="E12" s="29"/>
      <c r="F12" s="29"/>
      <c r="G12" s="29"/>
      <c r="H12" s="29"/>
      <c r="I12" s="29"/>
      <c r="J12" s="29"/>
    </row>
    <row r="13" spans="1:10" x14ac:dyDescent="0.25">
      <c r="A13" s="38"/>
      <c r="B13" s="38"/>
      <c r="C13" s="18">
        <v>12</v>
      </c>
      <c r="D13" s="35">
        <v>9</v>
      </c>
      <c r="E13" s="29"/>
      <c r="F13" s="29"/>
      <c r="G13" s="29"/>
      <c r="H13" s="29"/>
      <c r="I13" s="29"/>
      <c r="J13" s="29"/>
    </row>
    <row r="14" spans="1:10" x14ac:dyDescent="0.25">
      <c r="A14" s="38"/>
      <c r="B14" s="38" t="s">
        <v>26</v>
      </c>
      <c r="C14" s="18">
        <v>13</v>
      </c>
      <c r="D14" s="35">
        <v>0</v>
      </c>
      <c r="E14" s="29"/>
      <c r="F14" s="29"/>
      <c r="G14" s="29"/>
      <c r="H14" s="29"/>
      <c r="I14" s="29"/>
      <c r="J14" s="29"/>
    </row>
    <row r="15" spans="1:10" x14ac:dyDescent="0.25">
      <c r="A15" s="38"/>
      <c r="B15" s="38"/>
      <c r="C15" s="18">
        <v>14</v>
      </c>
      <c r="D15" s="35">
        <v>0</v>
      </c>
      <c r="E15" s="29"/>
      <c r="F15" s="29"/>
      <c r="G15" s="29"/>
      <c r="H15" s="29"/>
      <c r="I15" s="29"/>
      <c r="J15" s="29"/>
    </row>
    <row r="16" spans="1:10" x14ac:dyDescent="0.25">
      <c r="A16" s="38"/>
      <c r="B16" s="38" t="s">
        <v>30</v>
      </c>
      <c r="C16" s="18">
        <v>15</v>
      </c>
      <c r="D16" s="35">
        <v>9</v>
      </c>
      <c r="E16" s="29"/>
      <c r="F16" s="29"/>
      <c r="G16" s="29"/>
      <c r="H16" s="29"/>
      <c r="I16" s="29"/>
      <c r="J16" s="29"/>
    </row>
    <row r="17" spans="1:10" x14ac:dyDescent="0.25">
      <c r="A17" s="38"/>
      <c r="B17" s="38"/>
      <c r="C17" s="18">
        <v>16</v>
      </c>
      <c r="D17" s="35">
        <v>9</v>
      </c>
      <c r="E17" s="29"/>
      <c r="F17" s="29"/>
      <c r="G17" s="29"/>
      <c r="H17" s="29"/>
      <c r="I17" s="29"/>
      <c r="J17" s="29"/>
    </row>
    <row r="18" spans="1:10" x14ac:dyDescent="0.25">
      <c r="A18" s="38" t="s">
        <v>20</v>
      </c>
      <c r="B18" s="38" t="s">
        <v>27</v>
      </c>
      <c r="C18" s="18">
        <v>17</v>
      </c>
      <c r="D18" s="35">
        <v>9</v>
      </c>
      <c r="E18" s="29"/>
      <c r="F18" s="29"/>
      <c r="G18" s="29"/>
      <c r="H18" s="29"/>
      <c r="I18" s="29"/>
      <c r="J18" s="29"/>
    </row>
    <row r="19" spans="1:10" x14ac:dyDescent="0.25">
      <c r="A19" s="38"/>
      <c r="B19" s="38"/>
      <c r="C19" s="18">
        <v>18</v>
      </c>
      <c r="D19" s="35">
        <v>9</v>
      </c>
      <c r="E19" s="29"/>
      <c r="F19" s="29"/>
      <c r="G19" s="29"/>
      <c r="H19" s="29"/>
      <c r="I19" s="29"/>
      <c r="J19" s="29"/>
    </row>
    <row r="20" spans="1:10" x14ac:dyDescent="0.25">
      <c r="A20" s="38"/>
      <c r="B20" s="38" t="s">
        <v>28</v>
      </c>
      <c r="C20" s="18">
        <v>19</v>
      </c>
      <c r="D20" s="35">
        <v>9</v>
      </c>
      <c r="E20" s="29"/>
      <c r="F20" s="29"/>
      <c r="G20" s="29"/>
      <c r="H20" s="29"/>
      <c r="I20" s="29"/>
      <c r="J20" s="29"/>
    </row>
    <row r="21" spans="1:10" x14ac:dyDescent="0.25">
      <c r="A21" s="38"/>
      <c r="B21" s="38"/>
      <c r="C21" s="18">
        <v>20</v>
      </c>
      <c r="D21" s="35">
        <v>9</v>
      </c>
      <c r="E21" s="29"/>
      <c r="F21" s="29"/>
      <c r="G21" s="29"/>
      <c r="H21" s="29"/>
      <c r="I21" s="29"/>
      <c r="J21" s="29"/>
    </row>
    <row r="22" spans="1:10" x14ac:dyDescent="0.25">
      <c r="A22" s="38"/>
      <c r="B22" s="38" t="s">
        <v>29</v>
      </c>
      <c r="C22" s="18">
        <v>21</v>
      </c>
      <c r="D22" s="35">
        <v>9</v>
      </c>
      <c r="E22" s="29"/>
      <c r="F22" s="29"/>
      <c r="G22" s="29"/>
      <c r="H22" s="29"/>
      <c r="I22" s="29"/>
      <c r="J22" s="29"/>
    </row>
    <row r="23" spans="1:10" x14ac:dyDescent="0.25">
      <c r="A23" s="38"/>
      <c r="B23" s="38"/>
      <c r="C23" s="18">
        <v>22</v>
      </c>
      <c r="D23" s="35">
        <v>9</v>
      </c>
      <c r="E23" s="29"/>
      <c r="F23" s="29"/>
      <c r="G23" s="29"/>
      <c r="H23" s="29"/>
      <c r="I23" s="29"/>
      <c r="J23" s="29"/>
    </row>
    <row r="24" spans="1:10" x14ac:dyDescent="0.25">
      <c r="A24" s="38"/>
      <c r="B24" s="38" t="s">
        <v>25</v>
      </c>
      <c r="C24" s="18">
        <v>23</v>
      </c>
      <c r="D24" s="35">
        <v>9</v>
      </c>
      <c r="E24" s="29"/>
      <c r="F24" s="29"/>
      <c r="G24" s="29"/>
      <c r="H24" s="29"/>
      <c r="I24" s="29"/>
      <c r="J24" s="29"/>
    </row>
    <row r="25" spans="1:10" x14ac:dyDescent="0.25">
      <c r="A25" s="38"/>
      <c r="B25" s="38"/>
      <c r="C25" s="18">
        <v>24</v>
      </c>
      <c r="D25" s="35">
        <v>9</v>
      </c>
      <c r="E25" s="29"/>
      <c r="F25" s="29"/>
      <c r="G25" s="29"/>
      <c r="H25" s="29"/>
      <c r="I25" s="29"/>
      <c r="J25" s="29"/>
    </row>
    <row r="26" spans="1:10" x14ac:dyDescent="0.25">
      <c r="A26" s="38"/>
      <c r="B26" s="38" t="s">
        <v>26</v>
      </c>
      <c r="C26" s="18">
        <v>25</v>
      </c>
      <c r="D26" s="35">
        <v>0</v>
      </c>
      <c r="E26" s="29"/>
      <c r="F26" s="29"/>
      <c r="G26" s="29"/>
      <c r="H26" s="29"/>
      <c r="I26" s="29"/>
      <c r="J26" s="29"/>
    </row>
    <row r="27" spans="1:10" x14ac:dyDescent="0.25">
      <c r="A27" s="38"/>
      <c r="B27" s="38"/>
      <c r="C27" s="18">
        <v>26</v>
      </c>
      <c r="D27" s="35">
        <v>0</v>
      </c>
      <c r="E27" s="29"/>
      <c r="F27" s="29"/>
      <c r="G27" s="29"/>
      <c r="H27" s="29"/>
      <c r="I27" s="29"/>
      <c r="J27" s="29"/>
    </row>
    <row r="28" spans="1:10" x14ac:dyDescent="0.25">
      <c r="A28" s="38" t="s">
        <v>21</v>
      </c>
      <c r="B28" s="38" t="s">
        <v>27</v>
      </c>
      <c r="C28" s="18">
        <v>27</v>
      </c>
      <c r="D28" s="35">
        <v>9</v>
      </c>
      <c r="E28" s="29"/>
      <c r="F28" s="29"/>
      <c r="G28" s="29"/>
      <c r="H28" s="29"/>
      <c r="I28" s="29"/>
      <c r="J28" s="29"/>
    </row>
    <row r="29" spans="1:10" x14ac:dyDescent="0.25">
      <c r="A29" s="38"/>
      <c r="B29" s="38"/>
      <c r="C29" s="18">
        <v>28</v>
      </c>
      <c r="D29" s="35">
        <v>9</v>
      </c>
      <c r="E29" s="29"/>
      <c r="F29" s="29"/>
      <c r="G29" s="29"/>
      <c r="H29" s="29"/>
      <c r="I29" s="29"/>
      <c r="J29" s="29"/>
    </row>
    <row r="30" spans="1:10" x14ac:dyDescent="0.25">
      <c r="A30" s="38"/>
      <c r="B30" s="38" t="s">
        <v>28</v>
      </c>
      <c r="C30" s="18">
        <v>29</v>
      </c>
      <c r="D30" s="35">
        <v>9</v>
      </c>
      <c r="E30" s="29"/>
      <c r="F30" s="29"/>
      <c r="G30" s="29"/>
      <c r="H30" s="29"/>
      <c r="I30" s="29"/>
      <c r="J30" s="29"/>
    </row>
    <row r="31" spans="1:10" x14ac:dyDescent="0.25">
      <c r="A31" s="38"/>
      <c r="B31" s="38"/>
      <c r="C31" s="18">
        <v>30</v>
      </c>
      <c r="D31" s="35">
        <v>9</v>
      </c>
      <c r="E31" s="29"/>
      <c r="F31" s="29"/>
      <c r="G31" s="29"/>
      <c r="H31" s="29"/>
      <c r="I31" s="29"/>
      <c r="J31" s="29"/>
    </row>
    <row r="32" spans="1:10" x14ac:dyDescent="0.25">
      <c r="A32" s="38"/>
      <c r="B32" s="38" t="s">
        <v>29</v>
      </c>
      <c r="C32" s="18">
        <v>31</v>
      </c>
      <c r="D32" s="35">
        <v>9</v>
      </c>
      <c r="E32" s="29"/>
      <c r="F32" s="29"/>
      <c r="G32" s="29"/>
      <c r="H32" s="29"/>
      <c r="I32" s="29"/>
      <c r="J32" s="29"/>
    </row>
    <row r="33" spans="1:10" x14ac:dyDescent="0.25">
      <c r="A33" s="38"/>
      <c r="B33" s="38"/>
      <c r="C33" s="18">
        <v>32</v>
      </c>
      <c r="D33" s="35">
        <v>9</v>
      </c>
      <c r="E33" s="29"/>
      <c r="F33" s="29"/>
      <c r="G33" s="29"/>
      <c r="H33" s="29"/>
      <c r="I33" s="29"/>
      <c r="J33" s="29"/>
    </row>
    <row r="34" spans="1:10" x14ac:dyDescent="0.25">
      <c r="A34" s="38"/>
      <c r="B34" s="38" t="s">
        <v>25</v>
      </c>
      <c r="C34" s="18">
        <v>33</v>
      </c>
      <c r="D34" s="35">
        <v>9</v>
      </c>
      <c r="E34" s="29"/>
      <c r="F34" s="29"/>
      <c r="G34" s="29"/>
      <c r="H34" s="29"/>
      <c r="I34" s="29"/>
      <c r="J34" s="29"/>
    </row>
    <row r="35" spans="1:10" x14ac:dyDescent="0.25">
      <c r="A35" s="38"/>
      <c r="B35" s="38"/>
      <c r="C35" s="18">
        <v>34</v>
      </c>
      <c r="D35" s="35">
        <v>9</v>
      </c>
      <c r="E35" s="29"/>
      <c r="F35" s="29"/>
      <c r="G35" s="29"/>
      <c r="H35" s="29"/>
      <c r="I35" s="29"/>
      <c r="J35" s="29"/>
    </row>
    <row r="36" spans="1:10" x14ac:dyDescent="0.25">
      <c r="A36" s="38"/>
      <c r="B36" s="38" t="s">
        <v>26</v>
      </c>
      <c r="C36" s="18">
        <v>35</v>
      </c>
      <c r="D36" s="35">
        <v>0</v>
      </c>
      <c r="E36" s="29"/>
      <c r="F36" s="29"/>
      <c r="G36" s="29"/>
      <c r="H36" s="29"/>
      <c r="I36" s="29"/>
      <c r="J36" s="29"/>
    </row>
    <row r="37" spans="1:10" x14ac:dyDescent="0.25">
      <c r="A37" s="38"/>
      <c r="B37" s="38"/>
      <c r="C37" s="18">
        <v>36</v>
      </c>
      <c r="D37" s="35">
        <v>0</v>
      </c>
      <c r="E37" s="29"/>
      <c r="F37" s="29"/>
      <c r="G37" s="29"/>
      <c r="H37" s="29"/>
      <c r="I37" s="29"/>
      <c r="J37" s="29"/>
    </row>
    <row r="38" spans="1:10" x14ac:dyDescent="0.25">
      <c r="A38" s="38" t="s">
        <v>22</v>
      </c>
      <c r="B38" s="38" t="s">
        <v>27</v>
      </c>
      <c r="C38" s="18">
        <v>37</v>
      </c>
      <c r="D38" s="35">
        <v>9</v>
      </c>
      <c r="E38" s="29"/>
      <c r="F38" s="29"/>
      <c r="G38" s="29"/>
      <c r="H38" s="29"/>
      <c r="I38" s="29"/>
      <c r="J38" s="29"/>
    </row>
    <row r="39" spans="1:10" x14ac:dyDescent="0.25">
      <c r="A39" s="38"/>
      <c r="B39" s="38"/>
      <c r="C39" s="18">
        <v>38</v>
      </c>
      <c r="D39" s="35">
        <v>9</v>
      </c>
      <c r="E39" s="29"/>
      <c r="F39" s="29"/>
      <c r="G39" s="29"/>
      <c r="H39" s="29"/>
      <c r="I39" s="29"/>
      <c r="J39" s="29"/>
    </row>
    <row r="40" spans="1:10" x14ac:dyDescent="0.25">
      <c r="A40" s="38"/>
      <c r="B40" s="38" t="s">
        <v>28</v>
      </c>
      <c r="C40" s="18">
        <v>39</v>
      </c>
      <c r="D40" s="35">
        <v>9</v>
      </c>
      <c r="E40" s="29"/>
      <c r="F40" s="29"/>
      <c r="G40" s="29"/>
      <c r="H40" s="29"/>
      <c r="I40" s="29"/>
      <c r="J40" s="29"/>
    </row>
    <row r="41" spans="1:10" x14ac:dyDescent="0.25">
      <c r="A41" s="38"/>
      <c r="B41" s="38"/>
      <c r="C41" s="18">
        <v>40</v>
      </c>
      <c r="D41" s="35">
        <v>9</v>
      </c>
      <c r="E41" s="29"/>
      <c r="F41" s="29"/>
      <c r="G41" s="29"/>
      <c r="H41" s="29"/>
      <c r="I41" s="29"/>
      <c r="J41" s="29"/>
    </row>
    <row r="42" spans="1:10" x14ac:dyDescent="0.25">
      <c r="A42" s="38"/>
      <c r="B42" s="38" t="s">
        <v>29</v>
      </c>
      <c r="C42" s="18">
        <v>41</v>
      </c>
      <c r="D42" s="35">
        <v>9</v>
      </c>
      <c r="E42" s="29"/>
      <c r="F42" s="29"/>
      <c r="G42" s="29"/>
      <c r="H42" s="29"/>
      <c r="I42" s="29"/>
      <c r="J42" s="29"/>
    </row>
    <row r="43" spans="1:10" x14ac:dyDescent="0.25">
      <c r="A43" s="38"/>
      <c r="B43" s="38"/>
      <c r="C43" s="18">
        <v>42</v>
      </c>
      <c r="D43" s="35">
        <v>9</v>
      </c>
      <c r="E43" s="29"/>
      <c r="F43" s="29"/>
      <c r="G43" s="29"/>
      <c r="H43" s="29"/>
      <c r="I43" s="29"/>
      <c r="J43" s="29"/>
    </row>
    <row r="44" spans="1:10" x14ac:dyDescent="0.25">
      <c r="A44" s="38"/>
      <c r="B44" s="38" t="s">
        <v>25</v>
      </c>
      <c r="C44" s="18">
        <v>43</v>
      </c>
      <c r="D44" s="35">
        <v>9</v>
      </c>
      <c r="E44" s="29"/>
      <c r="F44" s="29"/>
      <c r="G44" s="29"/>
      <c r="H44" s="29"/>
      <c r="I44" s="29"/>
      <c r="J44" s="29"/>
    </row>
    <row r="45" spans="1:10" x14ac:dyDescent="0.25">
      <c r="A45" s="38"/>
      <c r="B45" s="38"/>
      <c r="C45" s="18">
        <v>44</v>
      </c>
      <c r="D45" s="35">
        <v>9</v>
      </c>
      <c r="E45" s="29"/>
      <c r="F45" s="29"/>
      <c r="G45" s="29"/>
      <c r="H45" s="29"/>
      <c r="I45" s="29"/>
      <c r="J45" s="29"/>
    </row>
    <row r="46" spans="1:10" x14ac:dyDescent="0.25">
      <c r="A46" s="38"/>
      <c r="B46" s="38" t="s">
        <v>26</v>
      </c>
      <c r="C46" s="18">
        <v>45</v>
      </c>
      <c r="D46" s="36">
        <v>0</v>
      </c>
      <c r="E46" s="29"/>
      <c r="F46" s="29"/>
      <c r="G46" s="37"/>
      <c r="H46" s="29"/>
      <c r="I46" s="29"/>
      <c r="J46" s="29"/>
    </row>
    <row r="47" spans="1:10" x14ac:dyDescent="0.25">
      <c r="A47" s="38"/>
      <c r="B47" s="38"/>
      <c r="C47" s="18">
        <v>46</v>
      </c>
      <c r="D47" s="36">
        <v>0</v>
      </c>
      <c r="E47" s="29"/>
      <c r="F47" s="29"/>
      <c r="G47" s="37"/>
      <c r="H47" s="29"/>
      <c r="I47" s="29"/>
      <c r="J47" s="29"/>
    </row>
    <row r="48" spans="1:10" x14ac:dyDescent="0.25">
      <c r="A48" s="38" t="s">
        <v>23</v>
      </c>
      <c r="B48" s="38" t="s">
        <v>27</v>
      </c>
      <c r="C48" s="18">
        <v>47</v>
      </c>
      <c r="D48" s="36">
        <v>9</v>
      </c>
      <c r="E48" s="29"/>
      <c r="F48" s="29"/>
      <c r="G48" s="37"/>
      <c r="H48" s="29"/>
      <c r="I48" s="29"/>
      <c r="J48" s="29"/>
    </row>
    <row r="49" spans="1:10" x14ac:dyDescent="0.25">
      <c r="A49" s="38"/>
      <c r="B49" s="38"/>
      <c r="C49" s="18">
        <v>48</v>
      </c>
      <c r="D49" s="36">
        <v>9</v>
      </c>
      <c r="E49" s="29"/>
      <c r="F49" s="29"/>
      <c r="G49" s="37"/>
      <c r="H49" s="29"/>
      <c r="I49" s="29"/>
      <c r="J49" s="29"/>
    </row>
    <row r="50" spans="1:10" x14ac:dyDescent="0.25">
      <c r="A50" s="38"/>
      <c r="B50" s="38" t="s">
        <v>28</v>
      </c>
      <c r="C50" s="18">
        <v>49</v>
      </c>
      <c r="D50" s="36">
        <v>9</v>
      </c>
      <c r="E50" s="29"/>
      <c r="F50" s="29"/>
      <c r="G50" s="37"/>
      <c r="H50" s="29"/>
      <c r="I50" s="29"/>
      <c r="J50" s="29"/>
    </row>
    <row r="51" spans="1:10" x14ac:dyDescent="0.25">
      <c r="A51" s="38"/>
      <c r="B51" s="38"/>
      <c r="C51" s="18">
        <v>50</v>
      </c>
      <c r="D51" s="36">
        <v>9</v>
      </c>
      <c r="E51" s="29"/>
      <c r="F51" s="29"/>
      <c r="G51" s="37"/>
      <c r="H51" s="29"/>
      <c r="I51" s="29"/>
      <c r="J51" s="29"/>
    </row>
    <row r="52" spans="1:10" x14ac:dyDescent="0.25">
      <c r="A52" s="38"/>
      <c r="B52" s="38" t="s">
        <v>29</v>
      </c>
      <c r="C52" s="18">
        <v>51</v>
      </c>
      <c r="D52" s="36">
        <v>9</v>
      </c>
      <c r="E52" s="29"/>
      <c r="F52" s="29"/>
      <c r="G52" s="37"/>
      <c r="H52" s="29"/>
      <c r="I52" s="29"/>
      <c r="J52" s="29"/>
    </row>
    <row r="53" spans="1:10" x14ac:dyDescent="0.25">
      <c r="A53" s="38"/>
      <c r="B53" s="38"/>
      <c r="C53" s="18">
        <v>52</v>
      </c>
      <c r="D53" s="36">
        <v>9</v>
      </c>
      <c r="E53" s="29"/>
      <c r="F53" s="29"/>
      <c r="G53" s="37"/>
      <c r="H53" s="29"/>
      <c r="I53" s="29"/>
      <c r="J53" s="29"/>
    </row>
    <row r="54" spans="1:10" x14ac:dyDescent="0.25">
      <c r="A54" s="38"/>
      <c r="B54" s="38" t="s">
        <v>25</v>
      </c>
      <c r="C54" s="18">
        <v>53</v>
      </c>
      <c r="D54" s="36">
        <v>9</v>
      </c>
      <c r="E54" s="29"/>
      <c r="F54" s="29"/>
      <c r="G54" s="37"/>
      <c r="H54" s="29"/>
      <c r="I54" s="29"/>
      <c r="J54" s="29"/>
    </row>
    <row r="55" spans="1:10" x14ac:dyDescent="0.25">
      <c r="A55" s="38"/>
      <c r="B55" s="38"/>
      <c r="C55" s="18">
        <v>54</v>
      </c>
      <c r="D55" s="36">
        <v>9</v>
      </c>
      <c r="E55" s="29"/>
      <c r="F55" s="29"/>
      <c r="G55" s="37"/>
      <c r="H55" s="29"/>
      <c r="I55" s="29"/>
      <c r="J55" s="29"/>
    </row>
    <row r="56" spans="1:10" x14ac:dyDescent="0.25">
      <c r="A56" s="38"/>
      <c r="B56" s="38" t="s">
        <v>26</v>
      </c>
      <c r="C56" s="18">
        <v>55</v>
      </c>
      <c r="D56" s="36">
        <v>0</v>
      </c>
      <c r="E56" s="29"/>
      <c r="F56" s="29"/>
      <c r="G56" s="37"/>
      <c r="H56" s="29"/>
      <c r="I56" s="29"/>
      <c r="J56" s="29"/>
    </row>
    <row r="57" spans="1:10" x14ac:dyDescent="0.25">
      <c r="A57" s="38"/>
      <c r="B57" s="38"/>
      <c r="C57" s="18">
        <v>56</v>
      </c>
      <c r="D57" s="36">
        <v>0</v>
      </c>
      <c r="E57" s="29"/>
      <c r="F57" s="29"/>
      <c r="G57" s="37"/>
      <c r="H57" s="29"/>
      <c r="I57" s="29"/>
      <c r="J57" s="29"/>
    </row>
    <row r="58" spans="1:10" x14ac:dyDescent="0.25">
      <c r="A58" s="38" t="s">
        <v>24</v>
      </c>
      <c r="B58" s="38" t="s">
        <v>27</v>
      </c>
      <c r="C58" s="18">
        <v>57</v>
      </c>
      <c r="D58" s="36">
        <v>9</v>
      </c>
      <c r="E58" s="29"/>
      <c r="F58" s="29"/>
      <c r="G58" s="37"/>
      <c r="H58" s="29"/>
      <c r="I58" s="29"/>
      <c r="J58" s="29"/>
    </row>
    <row r="59" spans="1:10" x14ac:dyDescent="0.25">
      <c r="A59" s="38"/>
      <c r="B59" s="38"/>
      <c r="C59" s="18">
        <v>58</v>
      </c>
      <c r="D59" s="36">
        <v>9</v>
      </c>
      <c r="E59" s="29"/>
      <c r="F59" s="29"/>
      <c r="G59" s="37"/>
      <c r="H59" s="29"/>
      <c r="I59" s="29"/>
      <c r="J59" s="29"/>
    </row>
    <row r="60" spans="1:10" x14ac:dyDescent="0.25">
      <c r="A60" s="38"/>
      <c r="B60" s="38" t="s">
        <v>28</v>
      </c>
      <c r="C60" s="18">
        <v>59</v>
      </c>
      <c r="D60" s="36">
        <v>9</v>
      </c>
      <c r="E60" s="29"/>
      <c r="F60" s="29"/>
      <c r="G60" s="37"/>
      <c r="H60" s="29"/>
      <c r="I60" s="29"/>
      <c r="J60" s="29"/>
    </row>
    <row r="61" spans="1:10" x14ac:dyDescent="0.25">
      <c r="A61" s="38"/>
      <c r="B61" s="38"/>
      <c r="C61" s="18">
        <v>60</v>
      </c>
      <c r="D61" s="36">
        <v>9</v>
      </c>
      <c r="E61" s="29"/>
      <c r="F61" s="29"/>
      <c r="G61" s="37"/>
      <c r="H61" s="29"/>
      <c r="I61" s="29"/>
      <c r="J61" s="29"/>
    </row>
    <row r="62" spans="1:10" x14ac:dyDescent="0.25">
      <c r="A62" s="29"/>
      <c r="B62" s="29"/>
      <c r="C62" s="29"/>
      <c r="D62" s="29"/>
      <c r="E62" s="29"/>
      <c r="F62" s="29"/>
      <c r="G62" s="29"/>
      <c r="H62" s="29"/>
      <c r="I62" s="29"/>
      <c r="J62" s="29"/>
    </row>
    <row r="63" spans="1:10" x14ac:dyDescent="0.25">
      <c r="A63" s="29"/>
      <c r="B63" s="29"/>
      <c r="C63" s="29"/>
      <c r="D63" s="29"/>
      <c r="E63" s="29"/>
      <c r="F63" s="29"/>
      <c r="G63" s="29"/>
      <c r="H63" s="29"/>
      <c r="I63" s="29"/>
      <c r="J63" s="29"/>
    </row>
    <row r="65" spans="1:63" x14ac:dyDescent="0.25">
      <c r="A65" t="s">
        <v>98</v>
      </c>
    </row>
    <row r="66" spans="1:63" x14ac:dyDescent="0.25">
      <c r="A66" s="19"/>
      <c r="B66" s="30" t="s">
        <v>18</v>
      </c>
      <c r="C66" s="30" t="s">
        <v>19</v>
      </c>
      <c r="D66" s="30" t="s">
        <v>20</v>
      </c>
      <c r="E66" s="30" t="s">
        <v>21</v>
      </c>
      <c r="F66" s="30" t="s">
        <v>22</v>
      </c>
      <c r="G66" s="30" t="s">
        <v>23</v>
      </c>
      <c r="H66" s="30" t="s">
        <v>97</v>
      </c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  <c r="BC66" s="31"/>
      <c r="BD66" s="31"/>
      <c r="BE66" s="31"/>
      <c r="BF66" s="31"/>
      <c r="BG66" s="31"/>
      <c r="BH66" s="31"/>
      <c r="BI66" s="29"/>
      <c r="BJ66" s="29"/>
      <c r="BK66" s="29"/>
    </row>
    <row r="67" spans="1:63" x14ac:dyDescent="0.25">
      <c r="A67" s="28" t="s">
        <v>99</v>
      </c>
      <c r="B67" s="28">
        <f>SUM($D2:$D5)</f>
        <v>18</v>
      </c>
      <c r="C67" s="28">
        <f>SUM($D6:$D17)</f>
        <v>90</v>
      </c>
      <c r="D67" s="28">
        <f>SUM($D18:$D27)</f>
        <v>72</v>
      </c>
      <c r="E67" s="28">
        <f>SUM($D28:$D37)</f>
        <v>72</v>
      </c>
      <c r="F67" s="28">
        <f>SUM($D38:$D47)</f>
        <v>72</v>
      </c>
      <c r="G67" s="28">
        <f>SUM($D48:$D57)</f>
        <v>72</v>
      </c>
      <c r="H67" s="28">
        <f>SUM($D58:$D61)</f>
        <v>36</v>
      </c>
    </row>
    <row r="68" spans="1:63" x14ac:dyDescent="0.25">
      <c r="A68" s="29"/>
      <c r="B68" s="29"/>
      <c r="C68" s="29"/>
      <c r="D68" s="29"/>
      <c r="E68" s="29"/>
      <c r="F68" s="29"/>
      <c r="G68" s="29"/>
      <c r="H68" s="29"/>
    </row>
    <row r="69" spans="1:63" x14ac:dyDescent="0.25">
      <c r="A69" s="29"/>
      <c r="B69" s="29"/>
      <c r="C69" s="29"/>
      <c r="D69" s="29"/>
      <c r="E69" s="29"/>
      <c r="F69" s="29"/>
      <c r="G69" s="29"/>
      <c r="H69" s="29"/>
    </row>
    <row r="71" spans="1:63" x14ac:dyDescent="0.25">
      <c r="A71" s="61" t="s">
        <v>100</v>
      </c>
    </row>
    <row r="72" spans="1:63" x14ac:dyDescent="0.25">
      <c r="A72" s="61"/>
    </row>
    <row r="73" spans="1:63" x14ac:dyDescent="0.25">
      <c r="A73" s="19"/>
      <c r="B73" s="30" t="s">
        <v>18</v>
      </c>
      <c r="C73" s="30" t="s">
        <v>19</v>
      </c>
      <c r="D73" s="30" t="s">
        <v>20</v>
      </c>
      <c r="E73" s="30" t="s">
        <v>21</v>
      </c>
      <c r="F73" s="30" t="s">
        <v>22</v>
      </c>
      <c r="G73" s="30" t="s">
        <v>23</v>
      </c>
      <c r="H73" s="30" t="s">
        <v>97</v>
      </c>
    </row>
    <row r="74" spans="1:63" x14ac:dyDescent="0.25">
      <c r="A74" s="28" t="s">
        <v>99</v>
      </c>
      <c r="B74" s="28">
        <f>B67</f>
        <v>18</v>
      </c>
      <c r="C74" s="28">
        <f>B74+C67</f>
        <v>108</v>
      </c>
      <c r="D74" s="28">
        <f t="shared" ref="D74:H74" si="0">C74+D67</f>
        <v>180</v>
      </c>
      <c r="E74" s="28">
        <f t="shared" si="0"/>
        <v>252</v>
      </c>
      <c r="F74" s="28">
        <f t="shared" si="0"/>
        <v>324</v>
      </c>
      <c r="G74" s="28">
        <f t="shared" si="0"/>
        <v>396</v>
      </c>
      <c r="H74" s="28">
        <f t="shared" si="0"/>
        <v>432</v>
      </c>
    </row>
    <row r="75" spans="1:63" x14ac:dyDescent="0.25">
      <c r="A75" s="29"/>
      <c r="B75" s="29"/>
      <c r="C75" s="29"/>
      <c r="D75" s="29"/>
      <c r="E75" s="29"/>
      <c r="F75" s="29"/>
      <c r="G75" s="29"/>
      <c r="H75" s="29"/>
    </row>
    <row r="76" spans="1:63" x14ac:dyDescent="0.25">
      <c r="A76" s="29"/>
      <c r="B76" s="29"/>
      <c r="C76" s="29"/>
      <c r="D76" s="29"/>
      <c r="E76" s="29"/>
      <c r="F76" s="29"/>
      <c r="G76" s="29"/>
      <c r="H76" s="29"/>
    </row>
    <row r="77" spans="1:63" x14ac:dyDescent="0.25">
      <c r="A77" s="29"/>
      <c r="B77" s="29"/>
      <c r="C77" s="29"/>
      <c r="D77" s="29"/>
      <c r="E77" s="29"/>
      <c r="F77" s="29"/>
      <c r="G77" s="29"/>
      <c r="H77" s="29"/>
    </row>
    <row r="78" spans="1:63" x14ac:dyDescent="0.25">
      <c r="A78" s="29"/>
      <c r="B78" s="29"/>
      <c r="C78" s="29"/>
      <c r="D78" s="29"/>
      <c r="E78" s="29"/>
      <c r="F78" s="29"/>
      <c r="G78" s="29"/>
      <c r="H78" s="29"/>
    </row>
  </sheetData>
  <mergeCells count="39">
    <mergeCell ref="A71:A72"/>
    <mergeCell ref="J2:J5"/>
    <mergeCell ref="A28:A37"/>
    <mergeCell ref="A38:A47"/>
    <mergeCell ref="A48:A57"/>
    <mergeCell ref="B58:B59"/>
    <mergeCell ref="A58:A61"/>
    <mergeCell ref="B60:B61"/>
    <mergeCell ref="B36:B37"/>
    <mergeCell ref="B38:B39"/>
    <mergeCell ref="B40:B41"/>
    <mergeCell ref="B42:B43"/>
    <mergeCell ref="B44:B45"/>
    <mergeCell ref="B46:B47"/>
    <mergeCell ref="B48:B49"/>
    <mergeCell ref="B50:B51"/>
    <mergeCell ref="B52:B53"/>
    <mergeCell ref="B54:B55"/>
    <mergeCell ref="B26:B27"/>
    <mergeCell ref="B28:B29"/>
    <mergeCell ref="B30:B31"/>
    <mergeCell ref="B32:B33"/>
    <mergeCell ref="B34:B35"/>
    <mergeCell ref="A2:A5"/>
    <mergeCell ref="A6:A17"/>
    <mergeCell ref="A18:A27"/>
    <mergeCell ref="B56:B57"/>
    <mergeCell ref="B20:B21"/>
    <mergeCell ref="B22:B23"/>
    <mergeCell ref="B2:B3"/>
    <mergeCell ref="B12:B13"/>
    <mergeCell ref="B14:B15"/>
    <mergeCell ref="B16:B17"/>
    <mergeCell ref="B18:B19"/>
    <mergeCell ref="B4:B5"/>
    <mergeCell ref="B6:B7"/>
    <mergeCell ref="B8:B9"/>
    <mergeCell ref="B10:B11"/>
    <mergeCell ref="B24:B25"/>
  </mergeCells>
  <conditionalFormatting sqref="C2:C61">
    <cfRule type="expression" dxfId="0" priority="1">
      <formula>C$5=period_selected</formula>
    </cfRule>
  </conditionalFormatting>
  <dataValidations count="1">
    <dataValidation allowBlank="1" showInputMessage="1" showErrorMessage="1" prompt="Periods are charted from 1 to 60 starting from cell H4 to cell BO4 " sqref="A2:B2 B66 B73" xr:uid="{00000000-0002-0000-0100-000000000000}"/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43420-3C1E-472C-B26E-CE788E1F7CFA}">
  <sheetPr codeName="Sheet3"/>
  <dimension ref="A1:B14"/>
  <sheetViews>
    <sheetView workbookViewId="0">
      <selection activeCell="B8" sqref="B8"/>
    </sheetView>
  </sheetViews>
  <sheetFormatPr defaultRowHeight="15" x14ac:dyDescent="0.25"/>
  <cols>
    <col min="1" max="1" width="22.25" bestFit="1" customWidth="1"/>
    <col min="2" max="2" width="15.625" bestFit="1" customWidth="1"/>
  </cols>
  <sheetData>
    <row r="1" spans="1:2" x14ac:dyDescent="0.25">
      <c r="A1" s="34" t="s">
        <v>110</v>
      </c>
      <c r="B1" t="s">
        <v>109</v>
      </c>
    </row>
    <row r="2" spans="1:2" x14ac:dyDescent="0.25">
      <c r="A2" s="34" t="s">
        <v>111</v>
      </c>
      <c r="B2" t="s">
        <v>112</v>
      </c>
    </row>
    <row r="3" spans="1:2" x14ac:dyDescent="0.25">
      <c r="A3" s="34" t="s">
        <v>107</v>
      </c>
      <c r="B3">
        <f>ROW('Project Planner'!F6)</f>
        <v>6</v>
      </c>
    </row>
    <row r="4" spans="1:2" x14ac:dyDescent="0.25">
      <c r="A4" s="34" t="s">
        <v>108</v>
      </c>
    </row>
    <row r="5" spans="1:2" x14ac:dyDescent="0.25">
      <c r="A5" s="34" t="s">
        <v>113</v>
      </c>
      <c r="B5">
        <f>COLUMN('Project Planner'!F3)</f>
        <v>6</v>
      </c>
    </row>
    <row r="6" spans="1:2" x14ac:dyDescent="0.25">
      <c r="A6" s="34" t="s">
        <v>114</v>
      </c>
      <c r="B6">
        <f>COLUMN('Project Planner'!G3)</f>
        <v>7</v>
      </c>
    </row>
    <row r="7" spans="1:2" x14ac:dyDescent="0.25">
      <c r="A7" s="34" t="s">
        <v>141</v>
      </c>
      <c r="B7">
        <f>COLUMN('Project Planner'!I3)</f>
        <v>9</v>
      </c>
    </row>
    <row r="8" spans="1:2" x14ac:dyDescent="0.25">
      <c r="A8" s="34" t="s">
        <v>140</v>
      </c>
      <c r="B8">
        <f>COLUMN('Project Planner'!J3)</f>
        <v>10</v>
      </c>
    </row>
    <row r="9" spans="1:2" x14ac:dyDescent="0.25">
      <c r="A9" s="34" t="s">
        <v>115</v>
      </c>
      <c r="B9">
        <f>COLUMN('Project Planner'!H3)</f>
        <v>8</v>
      </c>
    </row>
    <row r="10" spans="1:2" x14ac:dyDescent="0.25">
      <c r="A10" s="34" t="s">
        <v>116</v>
      </c>
      <c r="B10">
        <f>COLUMN('Project Planner'!N3)</f>
        <v>14</v>
      </c>
    </row>
    <row r="11" spans="1:2" x14ac:dyDescent="0.25">
      <c r="A11" s="34" t="s">
        <v>117</v>
      </c>
      <c r="B11">
        <f>COLUMN('Project Planner'!K3)</f>
        <v>11</v>
      </c>
    </row>
    <row r="12" spans="1:2" x14ac:dyDescent="0.25">
      <c r="A12" s="34" t="s">
        <v>127</v>
      </c>
      <c r="B12">
        <f>ROW('Capacity Per Sprint'!D2)</f>
        <v>2</v>
      </c>
    </row>
    <row r="13" spans="1:2" x14ac:dyDescent="0.25">
      <c r="A13" s="34" t="s">
        <v>128</v>
      </c>
      <c r="B13">
        <f>ROW('Capacity Per Sprint'!D47)</f>
        <v>47</v>
      </c>
    </row>
    <row r="14" spans="1:2" x14ac:dyDescent="0.25">
      <c r="A14" s="34" t="s">
        <v>129</v>
      </c>
      <c r="B14">
        <f>COLUMN('Capacity Per Sprint'!D2)</f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D061C-ED0C-4581-AD5F-0FF7A5420838}">
  <sheetPr codeName="Sheet4"/>
  <dimension ref="A1:F136"/>
  <sheetViews>
    <sheetView topLeftCell="A103" workbookViewId="0">
      <selection activeCell="B113" sqref="B113"/>
    </sheetView>
  </sheetViews>
  <sheetFormatPr defaultRowHeight="15" x14ac:dyDescent="0.25"/>
  <cols>
    <col min="1" max="1" width="35.625" bestFit="1" customWidth="1"/>
    <col min="2" max="2" width="29" bestFit="1" customWidth="1"/>
    <col min="3" max="3" width="15.125" bestFit="1" customWidth="1"/>
    <col min="4" max="4" width="23.5" bestFit="1" customWidth="1"/>
    <col min="5" max="5" width="26.75" bestFit="1" customWidth="1"/>
    <col min="6" max="6" width="18.25" bestFit="1" customWidth="1"/>
  </cols>
  <sheetData>
    <row r="1" spans="1:2" x14ac:dyDescent="0.25">
      <c r="A1" t="s">
        <v>142</v>
      </c>
    </row>
    <row r="2" spans="1:2" x14ac:dyDescent="0.25">
      <c r="A2" t="s">
        <v>104</v>
      </c>
      <c r="B2" t="s">
        <v>105</v>
      </c>
    </row>
    <row r="3" spans="1:2" x14ac:dyDescent="0.25">
      <c r="A3" t="s">
        <v>110</v>
      </c>
      <c r="B3" t="s">
        <v>109</v>
      </c>
    </row>
    <row r="4" spans="1:2" x14ac:dyDescent="0.25">
      <c r="A4" t="s">
        <v>111</v>
      </c>
      <c r="B4" t="s">
        <v>112</v>
      </c>
    </row>
    <row r="5" spans="1:2" x14ac:dyDescent="0.25">
      <c r="A5" t="s">
        <v>107</v>
      </c>
      <c r="B5">
        <v>6</v>
      </c>
    </row>
    <row r="6" spans="1:2" x14ac:dyDescent="0.25">
      <c r="A6" t="s">
        <v>108</v>
      </c>
    </row>
    <row r="7" spans="1:2" x14ac:dyDescent="0.25">
      <c r="A7" t="s">
        <v>113</v>
      </c>
      <c r="B7">
        <v>6</v>
      </c>
    </row>
    <row r="8" spans="1:2" x14ac:dyDescent="0.25">
      <c r="A8" t="s">
        <v>114</v>
      </c>
      <c r="B8">
        <v>7</v>
      </c>
    </row>
    <row r="9" spans="1:2" x14ac:dyDescent="0.25">
      <c r="A9" t="s">
        <v>141</v>
      </c>
      <c r="B9">
        <v>9</v>
      </c>
    </row>
    <row r="10" spans="1:2" x14ac:dyDescent="0.25">
      <c r="A10" t="s">
        <v>140</v>
      </c>
      <c r="B10">
        <v>10</v>
      </c>
    </row>
    <row r="11" spans="1:2" x14ac:dyDescent="0.25">
      <c r="A11" t="s">
        <v>115</v>
      </c>
      <c r="B11">
        <v>8</v>
      </c>
    </row>
    <row r="12" spans="1:2" x14ac:dyDescent="0.25">
      <c r="A12" t="s">
        <v>116</v>
      </c>
      <c r="B12">
        <v>14</v>
      </c>
    </row>
    <row r="13" spans="1:2" x14ac:dyDescent="0.25">
      <c r="A13" t="s">
        <v>117</v>
      </c>
      <c r="B13">
        <v>11</v>
      </c>
    </row>
    <row r="14" spans="1:2" x14ac:dyDescent="0.25">
      <c r="A14" t="s">
        <v>127</v>
      </c>
      <c r="B14">
        <v>2</v>
      </c>
    </row>
    <row r="15" spans="1:2" x14ac:dyDescent="0.25">
      <c r="A15" t="s">
        <v>128</v>
      </c>
      <c r="B15">
        <v>47</v>
      </c>
    </row>
    <row r="16" spans="1:2" x14ac:dyDescent="0.25">
      <c r="A16" t="s">
        <v>129</v>
      </c>
      <c r="B16">
        <v>4</v>
      </c>
    </row>
    <row r="17" spans="1:6" x14ac:dyDescent="0.25">
      <c r="A17" t="s">
        <v>103</v>
      </c>
      <c r="B17">
        <v>14</v>
      </c>
    </row>
    <row r="18" spans="1:6" x14ac:dyDescent="0.25">
      <c r="A18" t="s">
        <v>106</v>
      </c>
      <c r="B18" t="s">
        <v>105</v>
      </c>
      <c r="C18">
        <v>1.9989013671875E-3</v>
      </c>
    </row>
    <row r="19" spans="1:6" x14ac:dyDescent="0.25">
      <c r="A19" t="s">
        <v>119</v>
      </c>
      <c r="B19">
        <v>32</v>
      </c>
    </row>
    <row r="20" spans="1:6" x14ac:dyDescent="0.25">
      <c r="A20" t="s">
        <v>120</v>
      </c>
      <c r="B20">
        <v>27</v>
      </c>
    </row>
    <row r="21" spans="1:6" x14ac:dyDescent="0.25">
      <c r="A21" t="s">
        <v>106</v>
      </c>
      <c r="B21" t="s">
        <v>118</v>
      </c>
      <c r="C21">
        <v>9.918212890625E-4</v>
      </c>
    </row>
    <row r="22" spans="1:6" x14ac:dyDescent="0.25">
      <c r="A22" t="s">
        <v>131</v>
      </c>
      <c r="B22">
        <v>46</v>
      </c>
    </row>
    <row r="23" spans="1:6" x14ac:dyDescent="0.25">
      <c r="A23" t="s">
        <v>106</v>
      </c>
      <c r="B23" t="s">
        <v>130</v>
      </c>
      <c r="C23">
        <v>0</v>
      </c>
    </row>
    <row r="24" spans="1:6" x14ac:dyDescent="0.25">
      <c r="A24" t="s">
        <v>104</v>
      </c>
      <c r="B24" t="s">
        <v>132</v>
      </c>
    </row>
    <row r="25" spans="1:6" x14ac:dyDescent="0.25">
      <c r="A25" t="s">
        <v>121</v>
      </c>
      <c r="B25" t="s">
        <v>122</v>
      </c>
      <c r="C25" t="s">
        <v>126</v>
      </c>
      <c r="D25" t="s">
        <v>123</v>
      </c>
      <c r="E25" t="s">
        <v>124</v>
      </c>
      <c r="F25" t="s">
        <v>125</v>
      </c>
    </row>
    <row r="26" spans="1:6" x14ac:dyDescent="0.25">
      <c r="A26">
        <v>32</v>
      </c>
      <c r="B26">
        <v>10</v>
      </c>
      <c r="C26">
        <v>0</v>
      </c>
      <c r="D26">
        <v>22</v>
      </c>
      <c r="E26">
        <v>6</v>
      </c>
      <c r="F26">
        <v>1</v>
      </c>
    </row>
    <row r="27" spans="1:6" x14ac:dyDescent="0.25">
      <c r="A27">
        <v>18</v>
      </c>
      <c r="B27">
        <v>5</v>
      </c>
      <c r="C27">
        <v>1</v>
      </c>
      <c r="D27">
        <v>13</v>
      </c>
      <c r="E27">
        <v>6</v>
      </c>
      <c r="F27">
        <v>1</v>
      </c>
    </row>
    <row r="28" spans="1:6" x14ac:dyDescent="0.25">
      <c r="A28">
        <v>8</v>
      </c>
      <c r="B28">
        <v>0</v>
      </c>
      <c r="C28">
        <v>5</v>
      </c>
      <c r="D28">
        <v>8</v>
      </c>
      <c r="E28">
        <v>3</v>
      </c>
      <c r="F28">
        <v>0</v>
      </c>
    </row>
    <row r="29" spans="1:6" x14ac:dyDescent="0.25">
      <c r="A29">
        <v>6</v>
      </c>
      <c r="B29">
        <v>0</v>
      </c>
      <c r="C29">
        <v>-1</v>
      </c>
      <c r="D29">
        <v>6</v>
      </c>
      <c r="E29">
        <v>2</v>
      </c>
      <c r="F29">
        <v>0</v>
      </c>
    </row>
    <row r="30" spans="1:6" x14ac:dyDescent="0.25">
      <c r="A30">
        <v>6</v>
      </c>
      <c r="B30">
        <v>0</v>
      </c>
      <c r="C30">
        <v>-1</v>
      </c>
      <c r="D30">
        <v>6</v>
      </c>
      <c r="E30">
        <v>2</v>
      </c>
      <c r="F30">
        <v>0</v>
      </c>
    </row>
    <row r="31" spans="1:6" x14ac:dyDescent="0.25">
      <c r="A31">
        <v>7</v>
      </c>
      <c r="B31">
        <v>0</v>
      </c>
      <c r="C31">
        <v>26</v>
      </c>
      <c r="D31">
        <v>7</v>
      </c>
      <c r="E31">
        <v>1</v>
      </c>
      <c r="F31">
        <v>0</v>
      </c>
    </row>
    <row r="32" spans="1:6" x14ac:dyDescent="0.25">
      <c r="A32">
        <v>10</v>
      </c>
      <c r="B32">
        <v>0</v>
      </c>
      <c r="C32">
        <v>-1</v>
      </c>
      <c r="D32">
        <v>10</v>
      </c>
      <c r="E32">
        <v>2</v>
      </c>
      <c r="F32">
        <v>0</v>
      </c>
    </row>
    <row r="33" spans="1:6" x14ac:dyDescent="0.25">
      <c r="A33">
        <v>14</v>
      </c>
      <c r="B33">
        <v>0</v>
      </c>
      <c r="C33">
        <v>-1</v>
      </c>
      <c r="D33">
        <v>14</v>
      </c>
      <c r="E33">
        <v>3</v>
      </c>
      <c r="F33">
        <v>0</v>
      </c>
    </row>
    <row r="34" spans="1:6" x14ac:dyDescent="0.25">
      <c r="A34">
        <v>17</v>
      </c>
      <c r="B34">
        <v>0</v>
      </c>
      <c r="C34">
        <v>-1</v>
      </c>
      <c r="D34">
        <v>17</v>
      </c>
      <c r="E34">
        <v>6</v>
      </c>
      <c r="F34">
        <v>0</v>
      </c>
    </row>
    <row r="35" spans="1:6" x14ac:dyDescent="0.25">
      <c r="A35">
        <v>17</v>
      </c>
      <c r="B35">
        <v>0</v>
      </c>
      <c r="C35">
        <v>-1</v>
      </c>
      <c r="D35">
        <v>17</v>
      </c>
      <c r="E35">
        <v>3</v>
      </c>
      <c r="F35">
        <v>0</v>
      </c>
    </row>
    <row r="36" spans="1:6" x14ac:dyDescent="0.25">
      <c r="A36">
        <v>10</v>
      </c>
      <c r="B36">
        <v>0</v>
      </c>
      <c r="C36">
        <v>-1</v>
      </c>
      <c r="D36">
        <v>10</v>
      </c>
      <c r="E36">
        <v>3</v>
      </c>
      <c r="F36">
        <v>0</v>
      </c>
    </row>
    <row r="37" spans="1:6" x14ac:dyDescent="0.25">
      <c r="A37">
        <v>7</v>
      </c>
      <c r="B37">
        <v>0</v>
      </c>
      <c r="C37">
        <v>-1</v>
      </c>
      <c r="D37">
        <v>7</v>
      </c>
      <c r="E37">
        <v>2</v>
      </c>
      <c r="F37">
        <v>0</v>
      </c>
    </row>
    <row r="38" spans="1:6" x14ac:dyDescent="0.25">
      <c r="A38">
        <v>10</v>
      </c>
      <c r="B38">
        <v>0</v>
      </c>
      <c r="C38">
        <v>-1</v>
      </c>
      <c r="D38">
        <v>10</v>
      </c>
      <c r="E38">
        <v>2</v>
      </c>
      <c r="F38">
        <v>0</v>
      </c>
    </row>
    <row r="39" spans="1:6" x14ac:dyDescent="0.25">
      <c r="A39">
        <v>10</v>
      </c>
      <c r="B39">
        <v>0</v>
      </c>
      <c r="C39">
        <v>-1</v>
      </c>
      <c r="D39">
        <v>10</v>
      </c>
      <c r="E39">
        <v>3</v>
      </c>
      <c r="F39">
        <v>0</v>
      </c>
    </row>
    <row r="40" spans="1:6" x14ac:dyDescent="0.25">
      <c r="A40">
        <v>17</v>
      </c>
      <c r="B40">
        <v>0</v>
      </c>
      <c r="C40">
        <v>-1</v>
      </c>
      <c r="D40">
        <v>17</v>
      </c>
      <c r="E40">
        <v>4</v>
      </c>
      <c r="F40">
        <v>0</v>
      </c>
    </row>
    <row r="41" spans="1:6" x14ac:dyDescent="0.25">
      <c r="A41">
        <v>3</v>
      </c>
      <c r="B41">
        <v>0</v>
      </c>
      <c r="C41">
        <v>-1</v>
      </c>
      <c r="D41">
        <v>3</v>
      </c>
      <c r="E41">
        <v>1</v>
      </c>
      <c r="F41">
        <v>0</v>
      </c>
    </row>
    <row r="42" spans="1:6" x14ac:dyDescent="0.25">
      <c r="A42">
        <v>2</v>
      </c>
      <c r="B42">
        <v>0</v>
      </c>
      <c r="C42">
        <v>-1</v>
      </c>
      <c r="D42">
        <v>2</v>
      </c>
      <c r="E42">
        <v>1</v>
      </c>
      <c r="F42">
        <v>0</v>
      </c>
    </row>
    <row r="43" spans="1:6" x14ac:dyDescent="0.25">
      <c r="A43">
        <v>10</v>
      </c>
      <c r="B43">
        <v>0</v>
      </c>
      <c r="C43">
        <v>-1</v>
      </c>
      <c r="D43">
        <v>10</v>
      </c>
      <c r="E43">
        <v>4</v>
      </c>
      <c r="F43">
        <v>0</v>
      </c>
    </row>
    <row r="44" spans="1:6" x14ac:dyDescent="0.25">
      <c r="A44">
        <v>10</v>
      </c>
      <c r="B44">
        <v>0</v>
      </c>
      <c r="C44">
        <v>-1</v>
      </c>
      <c r="D44">
        <v>10</v>
      </c>
      <c r="E44">
        <v>2</v>
      </c>
      <c r="F44">
        <v>0</v>
      </c>
    </row>
    <row r="45" spans="1:6" x14ac:dyDescent="0.25">
      <c r="A45">
        <v>6</v>
      </c>
      <c r="B45">
        <v>0</v>
      </c>
      <c r="C45">
        <v>-1</v>
      </c>
      <c r="D45">
        <v>6</v>
      </c>
      <c r="E45">
        <v>2</v>
      </c>
      <c r="F45">
        <v>0</v>
      </c>
    </row>
    <row r="46" spans="1:6" x14ac:dyDescent="0.25">
      <c r="A46">
        <v>10</v>
      </c>
      <c r="B46">
        <v>0</v>
      </c>
      <c r="C46">
        <v>-1</v>
      </c>
      <c r="D46">
        <v>10</v>
      </c>
      <c r="E46">
        <v>3</v>
      </c>
      <c r="F46">
        <v>0</v>
      </c>
    </row>
    <row r="47" spans="1:6" x14ac:dyDescent="0.25">
      <c r="A47">
        <v>10</v>
      </c>
      <c r="B47">
        <v>0</v>
      </c>
      <c r="C47">
        <v>-1</v>
      </c>
      <c r="D47">
        <v>10</v>
      </c>
      <c r="E47">
        <v>2</v>
      </c>
      <c r="F47">
        <v>0</v>
      </c>
    </row>
    <row r="48" spans="1:6" x14ac:dyDescent="0.25">
      <c r="A48">
        <v>10</v>
      </c>
      <c r="B48">
        <v>0</v>
      </c>
      <c r="C48">
        <v>-1</v>
      </c>
      <c r="D48">
        <v>10</v>
      </c>
      <c r="E48">
        <v>2</v>
      </c>
      <c r="F48">
        <v>0</v>
      </c>
    </row>
    <row r="49" spans="1:6" x14ac:dyDescent="0.25">
      <c r="A49">
        <v>10</v>
      </c>
      <c r="B49">
        <v>0</v>
      </c>
      <c r="C49">
        <v>-1</v>
      </c>
      <c r="D49">
        <v>10</v>
      </c>
      <c r="E49">
        <v>2</v>
      </c>
      <c r="F49">
        <v>0</v>
      </c>
    </row>
    <row r="50" spans="1:6" x14ac:dyDescent="0.25">
      <c r="A50">
        <v>7</v>
      </c>
      <c r="B50">
        <v>0</v>
      </c>
      <c r="C50">
        <v>-1</v>
      </c>
      <c r="D50">
        <v>7</v>
      </c>
      <c r="E50">
        <v>1</v>
      </c>
      <c r="F50">
        <v>0</v>
      </c>
    </row>
    <row r="51" spans="1:6" x14ac:dyDescent="0.25">
      <c r="A51">
        <v>22</v>
      </c>
      <c r="B51">
        <v>0</v>
      </c>
      <c r="C51">
        <v>-1</v>
      </c>
      <c r="D51">
        <v>22</v>
      </c>
      <c r="E51">
        <v>5</v>
      </c>
      <c r="F51">
        <v>0</v>
      </c>
    </row>
    <row r="52" spans="1:6" x14ac:dyDescent="0.25">
      <c r="A52">
        <v>10</v>
      </c>
      <c r="B52">
        <v>0</v>
      </c>
      <c r="C52">
        <v>-1</v>
      </c>
      <c r="D52">
        <v>10</v>
      </c>
      <c r="E52">
        <v>2</v>
      </c>
      <c r="F52">
        <v>0</v>
      </c>
    </row>
    <row r="53" spans="1:6" x14ac:dyDescent="0.25">
      <c r="A53" t="s">
        <v>106</v>
      </c>
      <c r="B53" t="s">
        <v>132</v>
      </c>
      <c r="C53">
        <v>7.99560546875E-3</v>
      </c>
    </row>
    <row r="54" spans="1:6" x14ac:dyDescent="0.25">
      <c r="A54" t="s">
        <v>104</v>
      </c>
      <c r="B54" t="s">
        <v>133</v>
      </c>
    </row>
    <row r="55" spans="1:6" x14ac:dyDescent="0.25">
      <c r="A55" t="s">
        <v>134</v>
      </c>
    </row>
    <row r="56" spans="1:6" x14ac:dyDescent="0.25">
      <c r="A56">
        <v>9</v>
      </c>
    </row>
    <row r="57" spans="1:6" x14ac:dyDescent="0.25">
      <c r="A57">
        <v>9</v>
      </c>
    </row>
    <row r="58" spans="1:6" x14ac:dyDescent="0.25">
      <c r="A58">
        <v>0</v>
      </c>
    </row>
    <row r="59" spans="1:6" x14ac:dyDescent="0.25">
      <c r="A59">
        <v>0</v>
      </c>
    </row>
    <row r="60" spans="1:6" x14ac:dyDescent="0.25">
      <c r="A60">
        <v>9</v>
      </c>
    </row>
    <row r="61" spans="1:6" x14ac:dyDescent="0.25">
      <c r="A61">
        <v>9</v>
      </c>
    </row>
    <row r="62" spans="1:6" x14ac:dyDescent="0.25">
      <c r="A62">
        <v>9</v>
      </c>
    </row>
    <row r="63" spans="1:6" x14ac:dyDescent="0.25">
      <c r="A63">
        <v>9</v>
      </c>
    </row>
    <row r="64" spans="1:6" x14ac:dyDescent="0.25">
      <c r="A64">
        <v>9</v>
      </c>
    </row>
    <row r="65" spans="1:1" x14ac:dyDescent="0.25">
      <c r="A65">
        <v>9</v>
      </c>
    </row>
    <row r="66" spans="1:1" x14ac:dyDescent="0.25">
      <c r="A66">
        <v>9</v>
      </c>
    </row>
    <row r="67" spans="1:1" x14ac:dyDescent="0.25">
      <c r="A67">
        <v>9</v>
      </c>
    </row>
    <row r="68" spans="1:1" x14ac:dyDescent="0.25">
      <c r="A68">
        <v>0</v>
      </c>
    </row>
    <row r="69" spans="1:1" x14ac:dyDescent="0.25">
      <c r="A69">
        <v>0</v>
      </c>
    </row>
    <row r="70" spans="1:1" x14ac:dyDescent="0.25">
      <c r="A70">
        <v>9</v>
      </c>
    </row>
    <row r="71" spans="1:1" x14ac:dyDescent="0.25">
      <c r="A71">
        <v>9</v>
      </c>
    </row>
    <row r="72" spans="1:1" x14ac:dyDescent="0.25">
      <c r="A72">
        <v>9</v>
      </c>
    </row>
    <row r="73" spans="1:1" x14ac:dyDescent="0.25">
      <c r="A73">
        <v>9</v>
      </c>
    </row>
    <row r="74" spans="1:1" x14ac:dyDescent="0.25">
      <c r="A74">
        <v>9</v>
      </c>
    </row>
    <row r="75" spans="1:1" x14ac:dyDescent="0.25">
      <c r="A75">
        <v>9</v>
      </c>
    </row>
    <row r="76" spans="1:1" x14ac:dyDescent="0.25">
      <c r="A76">
        <v>9</v>
      </c>
    </row>
    <row r="77" spans="1:1" x14ac:dyDescent="0.25">
      <c r="A77">
        <v>9</v>
      </c>
    </row>
    <row r="78" spans="1:1" x14ac:dyDescent="0.25">
      <c r="A78">
        <v>9</v>
      </c>
    </row>
    <row r="79" spans="1:1" x14ac:dyDescent="0.25">
      <c r="A79">
        <v>9</v>
      </c>
    </row>
    <row r="80" spans="1:1" x14ac:dyDescent="0.25">
      <c r="A80">
        <v>0</v>
      </c>
    </row>
    <row r="81" spans="1:1" x14ac:dyDescent="0.25">
      <c r="A81">
        <v>0</v>
      </c>
    </row>
    <row r="82" spans="1:1" x14ac:dyDescent="0.25">
      <c r="A82">
        <v>9</v>
      </c>
    </row>
    <row r="83" spans="1:1" x14ac:dyDescent="0.25">
      <c r="A83">
        <v>9</v>
      </c>
    </row>
    <row r="84" spans="1:1" x14ac:dyDescent="0.25">
      <c r="A84">
        <v>9</v>
      </c>
    </row>
    <row r="85" spans="1:1" x14ac:dyDescent="0.25">
      <c r="A85">
        <v>9</v>
      </c>
    </row>
    <row r="86" spans="1:1" x14ac:dyDescent="0.25">
      <c r="A86">
        <v>9</v>
      </c>
    </row>
    <row r="87" spans="1:1" x14ac:dyDescent="0.25">
      <c r="A87">
        <v>9</v>
      </c>
    </row>
    <row r="88" spans="1:1" x14ac:dyDescent="0.25">
      <c r="A88">
        <v>9</v>
      </c>
    </row>
    <row r="89" spans="1:1" x14ac:dyDescent="0.25">
      <c r="A89">
        <v>9</v>
      </c>
    </row>
    <row r="90" spans="1:1" x14ac:dyDescent="0.25">
      <c r="A90">
        <v>0</v>
      </c>
    </row>
    <row r="91" spans="1:1" x14ac:dyDescent="0.25">
      <c r="A91">
        <v>0</v>
      </c>
    </row>
    <row r="92" spans="1:1" x14ac:dyDescent="0.25">
      <c r="A92">
        <v>9</v>
      </c>
    </row>
    <row r="93" spans="1:1" x14ac:dyDescent="0.25">
      <c r="A93">
        <v>9</v>
      </c>
    </row>
    <row r="94" spans="1:1" x14ac:dyDescent="0.25">
      <c r="A94">
        <v>9</v>
      </c>
    </row>
    <row r="95" spans="1:1" x14ac:dyDescent="0.25">
      <c r="A95">
        <v>9</v>
      </c>
    </row>
    <row r="96" spans="1:1" x14ac:dyDescent="0.25">
      <c r="A96">
        <v>9</v>
      </c>
    </row>
    <row r="97" spans="1:4" x14ac:dyDescent="0.25">
      <c r="A97">
        <v>9</v>
      </c>
    </row>
    <row r="98" spans="1:4" x14ac:dyDescent="0.25">
      <c r="A98">
        <v>9</v>
      </c>
    </row>
    <row r="99" spans="1:4" x14ac:dyDescent="0.25">
      <c r="A99">
        <v>9</v>
      </c>
    </row>
    <row r="100" spans="1:4" x14ac:dyDescent="0.25">
      <c r="A100">
        <v>0</v>
      </c>
    </row>
    <row r="101" spans="1:4" x14ac:dyDescent="0.25">
      <c r="A101">
        <v>0</v>
      </c>
    </row>
    <row r="102" spans="1:4" x14ac:dyDescent="0.25">
      <c r="A102" t="s">
        <v>106</v>
      </c>
      <c r="B102" t="s">
        <v>133</v>
      </c>
      <c r="C102">
        <v>4.0130615234375E-3</v>
      </c>
    </row>
    <row r="103" spans="1:4" x14ac:dyDescent="0.25">
      <c r="A103" t="s">
        <v>104</v>
      </c>
      <c r="B103" t="s">
        <v>135</v>
      </c>
    </row>
    <row r="104" spans="1:4" x14ac:dyDescent="0.25">
      <c r="A104" t="s">
        <v>136</v>
      </c>
      <c r="B104" t="b">
        <v>0</v>
      </c>
    </row>
    <row r="105" spans="1:4" x14ac:dyDescent="0.25">
      <c r="A105" t="s">
        <v>106</v>
      </c>
      <c r="B105" t="s">
        <v>135</v>
      </c>
      <c r="C105">
        <v>1.9989013671875E-3</v>
      </c>
    </row>
    <row r="106" spans="1:4" x14ac:dyDescent="0.25">
      <c r="A106" t="s">
        <v>104</v>
      </c>
      <c r="B106" t="s">
        <v>143</v>
      </c>
    </row>
    <row r="107" spans="1:4" x14ac:dyDescent="0.25">
      <c r="A107" t="s">
        <v>126</v>
      </c>
      <c r="B107" t="s">
        <v>123</v>
      </c>
      <c r="C107" t="s">
        <v>124</v>
      </c>
      <c r="D107" t="s">
        <v>125</v>
      </c>
    </row>
    <row r="108" spans="1:4" x14ac:dyDescent="0.25">
      <c r="A108">
        <v>0</v>
      </c>
      <c r="B108">
        <v>22</v>
      </c>
      <c r="C108">
        <v>6</v>
      </c>
      <c r="D108">
        <v>1</v>
      </c>
    </row>
    <row r="109" spans="1:4" x14ac:dyDescent="0.25">
      <c r="A109">
        <v>1</v>
      </c>
      <c r="B109">
        <v>13</v>
      </c>
      <c r="C109">
        <v>6</v>
      </c>
      <c r="D109">
        <v>1</v>
      </c>
    </row>
    <row r="110" spans="1:4" x14ac:dyDescent="0.25">
      <c r="A110">
        <v>5</v>
      </c>
      <c r="B110">
        <v>8</v>
      </c>
      <c r="C110">
        <v>3</v>
      </c>
      <c r="D110">
        <v>0</v>
      </c>
    </row>
    <row r="111" spans="1:4" x14ac:dyDescent="0.25">
      <c r="A111">
        <v>6</v>
      </c>
      <c r="B111">
        <v>6</v>
      </c>
      <c r="C111">
        <v>2</v>
      </c>
      <c r="D111">
        <v>0</v>
      </c>
    </row>
    <row r="112" spans="1:4" x14ac:dyDescent="0.25">
      <c r="A112">
        <v>7</v>
      </c>
      <c r="B112">
        <v>6</v>
      </c>
      <c r="C112">
        <v>2</v>
      </c>
      <c r="D112">
        <v>0</v>
      </c>
    </row>
    <row r="113" spans="1:4" x14ac:dyDescent="0.25">
      <c r="A113">
        <v>26</v>
      </c>
      <c r="B113">
        <v>7</v>
      </c>
      <c r="C113">
        <v>1</v>
      </c>
      <c r="D113">
        <v>0</v>
      </c>
    </row>
    <row r="114" spans="1:4" x14ac:dyDescent="0.25">
      <c r="A114">
        <v>8</v>
      </c>
      <c r="B114">
        <v>10</v>
      </c>
      <c r="C114">
        <v>2</v>
      </c>
      <c r="D114">
        <v>0</v>
      </c>
    </row>
    <row r="115" spans="1:4" x14ac:dyDescent="0.25">
      <c r="A115">
        <v>9</v>
      </c>
      <c r="B115">
        <v>14</v>
      </c>
      <c r="C115">
        <v>3</v>
      </c>
      <c r="D115">
        <v>0</v>
      </c>
    </row>
    <row r="116" spans="1:4" x14ac:dyDescent="0.25">
      <c r="A116">
        <v>10</v>
      </c>
      <c r="B116">
        <v>17</v>
      </c>
      <c r="C116">
        <v>6</v>
      </c>
      <c r="D116">
        <v>0</v>
      </c>
    </row>
    <row r="117" spans="1:4" x14ac:dyDescent="0.25">
      <c r="A117">
        <v>14</v>
      </c>
      <c r="B117">
        <v>17</v>
      </c>
      <c r="C117">
        <v>3</v>
      </c>
      <c r="D117">
        <v>0</v>
      </c>
    </row>
    <row r="118" spans="1:4" x14ac:dyDescent="0.25">
      <c r="A118">
        <v>16</v>
      </c>
      <c r="B118">
        <v>10</v>
      </c>
      <c r="C118">
        <v>3</v>
      </c>
      <c r="D118">
        <v>0</v>
      </c>
    </row>
    <row r="119" spans="1:4" x14ac:dyDescent="0.25">
      <c r="A119">
        <v>17</v>
      </c>
      <c r="B119">
        <v>7</v>
      </c>
      <c r="C119">
        <v>2</v>
      </c>
      <c r="D119">
        <v>0</v>
      </c>
    </row>
    <row r="120" spans="1:4" x14ac:dyDescent="0.25">
      <c r="A120">
        <v>18</v>
      </c>
      <c r="B120">
        <v>10</v>
      </c>
      <c r="C120">
        <v>2</v>
      </c>
      <c r="D120">
        <v>0</v>
      </c>
    </row>
    <row r="121" spans="1:4" x14ac:dyDescent="0.25">
      <c r="A121">
        <v>19</v>
      </c>
      <c r="B121">
        <v>10</v>
      </c>
      <c r="C121">
        <v>3</v>
      </c>
      <c r="D121">
        <v>0</v>
      </c>
    </row>
    <row r="122" spans="1:4" x14ac:dyDescent="0.25">
      <c r="A122">
        <v>20</v>
      </c>
      <c r="B122">
        <v>17</v>
      </c>
      <c r="C122">
        <v>4</v>
      </c>
      <c r="D122">
        <v>0</v>
      </c>
    </row>
    <row r="123" spans="1:4" x14ac:dyDescent="0.25">
      <c r="A123">
        <v>22</v>
      </c>
      <c r="B123">
        <v>3</v>
      </c>
      <c r="C123">
        <v>1</v>
      </c>
      <c r="D123">
        <v>0</v>
      </c>
    </row>
    <row r="124" spans="1:4" x14ac:dyDescent="0.25">
      <c r="A124">
        <v>22</v>
      </c>
      <c r="B124">
        <v>2</v>
      </c>
      <c r="C124">
        <v>1</v>
      </c>
      <c r="D124">
        <v>0</v>
      </c>
    </row>
    <row r="125" spans="1:4" x14ac:dyDescent="0.25">
      <c r="A125">
        <v>23</v>
      </c>
      <c r="B125">
        <v>10</v>
      </c>
      <c r="C125">
        <v>4</v>
      </c>
      <c r="D125">
        <v>0</v>
      </c>
    </row>
    <row r="126" spans="1:4" x14ac:dyDescent="0.25">
      <c r="A126">
        <v>27</v>
      </c>
      <c r="B126">
        <v>10</v>
      </c>
      <c r="C126">
        <v>2</v>
      </c>
      <c r="D126">
        <v>0</v>
      </c>
    </row>
    <row r="127" spans="1:4" x14ac:dyDescent="0.25">
      <c r="A127">
        <v>28</v>
      </c>
      <c r="B127">
        <v>6</v>
      </c>
      <c r="C127">
        <v>2</v>
      </c>
      <c r="D127">
        <v>0</v>
      </c>
    </row>
    <row r="128" spans="1:4" x14ac:dyDescent="0.25">
      <c r="A128">
        <v>28</v>
      </c>
      <c r="B128">
        <v>10</v>
      </c>
      <c r="C128">
        <v>3</v>
      </c>
      <c r="D128">
        <v>0</v>
      </c>
    </row>
    <row r="129" spans="1:4" x14ac:dyDescent="0.25">
      <c r="A129">
        <v>29</v>
      </c>
      <c r="B129">
        <v>10</v>
      </c>
      <c r="C129">
        <v>2</v>
      </c>
      <c r="D129">
        <v>0</v>
      </c>
    </row>
    <row r="130" spans="1:4" x14ac:dyDescent="0.25">
      <c r="A130">
        <v>31</v>
      </c>
      <c r="B130">
        <v>10</v>
      </c>
      <c r="C130">
        <v>2</v>
      </c>
      <c r="D130">
        <v>0</v>
      </c>
    </row>
    <row r="131" spans="1:4" x14ac:dyDescent="0.25">
      <c r="A131">
        <v>32</v>
      </c>
      <c r="B131">
        <v>10</v>
      </c>
      <c r="C131">
        <v>2</v>
      </c>
      <c r="D131">
        <v>0</v>
      </c>
    </row>
    <row r="132" spans="1:4" x14ac:dyDescent="0.25">
      <c r="A132">
        <v>33</v>
      </c>
      <c r="B132">
        <v>7</v>
      </c>
      <c r="C132">
        <v>1</v>
      </c>
      <c r="D132">
        <v>0</v>
      </c>
    </row>
    <row r="133" spans="1:4" x14ac:dyDescent="0.25">
      <c r="A133">
        <v>34</v>
      </c>
      <c r="B133">
        <v>22</v>
      </c>
      <c r="C133">
        <v>5</v>
      </c>
      <c r="D133">
        <v>0</v>
      </c>
    </row>
    <row r="134" spans="1:4" x14ac:dyDescent="0.25">
      <c r="A134">
        <v>38</v>
      </c>
      <c r="B134">
        <v>10</v>
      </c>
      <c r="C134">
        <v>2</v>
      </c>
      <c r="D134">
        <v>0</v>
      </c>
    </row>
    <row r="135" spans="1:4" x14ac:dyDescent="0.25">
      <c r="A135" t="s">
        <v>106</v>
      </c>
      <c r="B135" t="s">
        <v>143</v>
      </c>
      <c r="C135">
        <v>2.7008056640625E-2</v>
      </c>
    </row>
    <row r="136" spans="1:4" x14ac:dyDescent="0.25">
      <c r="A136" t="s">
        <v>137</v>
      </c>
      <c r="B136">
        <v>5.3009033203125E-2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Project Planner</vt:lpstr>
      <vt:lpstr>Capacity Per Sprint</vt:lpstr>
      <vt:lpstr>Variables</vt:lpstr>
      <vt:lpstr>Debug</vt:lpstr>
      <vt:lpstr>period_selected</vt:lpstr>
      <vt:lpstr>'Project Planner'!Print_Titles</vt:lpstr>
      <vt:lpstr>TitleRegion..BO60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AOUN Roland</dc:creator>
  <cp:keywords/>
  <dc:description/>
  <cp:lastModifiedBy>Roland Aoun</cp:lastModifiedBy>
  <cp:revision/>
  <dcterms:created xsi:type="dcterms:W3CDTF">2016-12-05T05:14:59Z</dcterms:created>
  <dcterms:modified xsi:type="dcterms:W3CDTF">2019-01-28T22:03:37Z</dcterms:modified>
  <cp:category/>
  <cp:contentStatus/>
</cp:coreProperties>
</file>